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Ge15Ga25se60\"/>
    </mc:Choice>
  </mc:AlternateContent>
  <xr:revisionPtr revIDLastSave="0" documentId="13_ncr:1_{86829B8E-3734-4486-8D4A-0F8909FFBF88}" xr6:coauthVersionLast="46" xr6:coauthVersionMax="46" xr10:uidLastSave="{00000000-0000-0000-0000-000000000000}"/>
  <bookViews>
    <workbookView xWindow="-120" yWindow="-120" windowWidth="29040" windowHeight="15990" activeTab="1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Answ2" sheetId="8" r:id="rId5"/>
    <sheet name="data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8" i="5" l="1"/>
  <c r="A38" i="1"/>
  <c r="D39" i="2"/>
  <c r="C39" i="2"/>
  <c r="B39" i="2"/>
  <c r="A39" i="2"/>
  <c r="D38" i="2"/>
  <c r="C38" i="2"/>
  <c r="B38" i="2"/>
  <c r="A38" i="2"/>
  <c r="F36" i="2"/>
  <c r="F114" i="5"/>
  <c r="F80" i="5"/>
  <c r="F46" i="5"/>
  <c r="F36" i="5"/>
  <c r="F2" i="5"/>
  <c r="F114" i="2"/>
  <c r="F80" i="2"/>
  <c r="F46" i="2"/>
  <c r="F2" i="2"/>
  <c r="A97" i="6"/>
  <c r="A98" i="6"/>
  <c r="A91" i="6"/>
  <c r="A92" i="6"/>
  <c r="A93" i="6"/>
  <c r="A94" i="6"/>
  <c r="A95" i="6"/>
  <c r="A96" i="6"/>
  <c r="A88" i="6"/>
  <c r="A89" i="6"/>
  <c r="A90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24" i="6"/>
  <c r="A25" i="6"/>
  <c r="A26" i="6"/>
  <c r="A27" i="6"/>
  <c r="A28" i="6"/>
  <c r="A29" i="6"/>
  <c r="A30" i="6"/>
  <c r="A31" i="6"/>
  <c r="A32" i="6"/>
  <c r="A20" i="6"/>
  <c r="A21" i="6"/>
  <c r="A22" i="6"/>
  <c r="A23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B86" i="6"/>
  <c r="B8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B85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68" i="6"/>
  <c r="A87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69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B47" i="6"/>
  <c r="B48" i="6"/>
  <c r="B49" i="6"/>
  <c r="B50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B46" i="6"/>
  <c r="W36" i="6"/>
  <c r="W37" i="6"/>
  <c r="W38" i="6"/>
  <c r="W39" i="6"/>
  <c r="W40" i="6"/>
  <c r="W41" i="6"/>
  <c r="W42" i="6"/>
  <c r="W43" i="6"/>
  <c r="W44" i="6"/>
  <c r="W45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W35" i="6"/>
  <c r="B34" i="6"/>
  <c r="A47" i="6"/>
  <c r="A48" i="6"/>
  <c r="A49" i="6"/>
  <c r="A36" i="6"/>
  <c r="A37" i="6"/>
  <c r="A38" i="6"/>
  <c r="A39" i="6"/>
  <c r="A40" i="6"/>
  <c r="A41" i="6"/>
  <c r="A42" i="6"/>
  <c r="A43" i="6"/>
  <c r="A44" i="6"/>
  <c r="A45" i="6"/>
  <c r="A46" i="6"/>
  <c r="A35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3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B2" i="6"/>
  <c r="E38" i="2" l="1"/>
  <c r="E39" i="2"/>
  <c r="F35" i="2"/>
  <c r="F35" i="5" l="1"/>
  <c r="F34" i="5"/>
  <c r="E35" i="5"/>
  <c r="A66" i="6" s="1"/>
  <c r="E34" i="5"/>
  <c r="A65" i="6" s="1"/>
  <c r="F35" i="1"/>
  <c r="F34" i="1"/>
  <c r="F34" i="2"/>
  <c r="F121" i="2"/>
  <c r="F122" i="2" s="1"/>
  <c r="E35" i="2"/>
  <c r="E34" i="2"/>
  <c r="F123" i="1"/>
  <c r="F122" i="1"/>
  <c r="E35" i="1"/>
  <c r="E34" i="1"/>
  <c r="A22" i="1" l="1"/>
  <c r="A66" i="1" s="1"/>
  <c r="B22" i="1"/>
  <c r="B66" i="1" s="1"/>
  <c r="C22" i="1"/>
  <c r="C66" i="1" s="1"/>
  <c r="D22" i="1"/>
  <c r="D66" i="1" s="1"/>
  <c r="A23" i="1"/>
  <c r="A67" i="1" s="1"/>
  <c r="B23" i="1"/>
  <c r="B67" i="1" s="1"/>
  <c r="C23" i="1"/>
  <c r="C67" i="1" s="1"/>
  <c r="D23" i="1"/>
  <c r="D67" i="1" s="1"/>
  <c r="A24" i="1"/>
  <c r="A68" i="1" s="1"/>
  <c r="B24" i="1"/>
  <c r="B68" i="1" s="1"/>
  <c r="C24" i="1"/>
  <c r="C68" i="1" s="1"/>
  <c r="D24" i="1"/>
  <c r="D68" i="1" s="1"/>
  <c r="B21" i="1"/>
  <c r="B65" i="1" s="1"/>
  <c r="C21" i="1"/>
  <c r="C65" i="1" s="1"/>
  <c r="D21" i="1"/>
  <c r="D65" i="1" s="1"/>
  <c r="I66" i="1" l="1"/>
  <c r="Q66" i="1"/>
  <c r="Y66" i="1"/>
  <c r="J66" i="1"/>
  <c r="R66" i="1"/>
  <c r="Z66" i="1"/>
  <c r="P66" i="1"/>
  <c r="K66" i="1"/>
  <c r="S66" i="1"/>
  <c r="AA66" i="1"/>
  <c r="H66" i="1"/>
  <c r="L66" i="1"/>
  <c r="T66" i="1"/>
  <c r="M66" i="1"/>
  <c r="U66" i="1"/>
  <c r="F66" i="1"/>
  <c r="N66" i="1"/>
  <c r="V66" i="1"/>
  <c r="X66" i="1"/>
  <c r="G66" i="1"/>
  <c r="O66" i="1"/>
  <c r="W66" i="1"/>
  <c r="I1" i="5"/>
  <c r="I1" i="2"/>
  <c r="F128" i="5" l="1"/>
  <c r="F129" i="5" s="1"/>
  <c r="E128" i="5"/>
  <c r="E129" i="5" s="1"/>
  <c r="D128" i="5"/>
  <c r="D129" i="5" s="1"/>
  <c r="C128" i="5"/>
  <c r="C129" i="5" s="1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111" i="5" s="1"/>
  <c r="E76" i="5"/>
  <c r="E110" i="5" s="1"/>
  <c r="E75" i="5"/>
  <c r="E109" i="5" s="1"/>
  <c r="E74" i="5"/>
  <c r="E108" i="5" s="1"/>
  <c r="E73" i="5"/>
  <c r="E107" i="5" s="1"/>
  <c r="E72" i="5"/>
  <c r="E106" i="5" s="1"/>
  <c r="E71" i="5"/>
  <c r="E105" i="5" s="1"/>
  <c r="E70" i="5"/>
  <c r="E104" i="5" s="1"/>
  <c r="E69" i="5"/>
  <c r="E103" i="5" s="1"/>
  <c r="E68" i="5"/>
  <c r="E102" i="5" s="1"/>
  <c r="E67" i="5"/>
  <c r="E101" i="5" s="1"/>
  <c r="E66" i="5"/>
  <c r="E100" i="5" s="1"/>
  <c r="E65" i="5"/>
  <c r="E99" i="5" s="1"/>
  <c r="E64" i="5"/>
  <c r="E98" i="5" s="1"/>
  <c r="E63" i="5"/>
  <c r="E97" i="5" s="1"/>
  <c r="E62" i="5"/>
  <c r="E96" i="5" s="1"/>
  <c r="E61" i="5"/>
  <c r="E95" i="5" s="1"/>
  <c r="E60" i="5"/>
  <c r="E94" i="5" s="1"/>
  <c r="E59" i="5"/>
  <c r="E93" i="5" s="1"/>
  <c r="E58" i="5"/>
  <c r="E92" i="5" s="1"/>
  <c r="E57" i="5"/>
  <c r="E91" i="5" s="1"/>
  <c r="E56" i="5"/>
  <c r="E90" i="5" s="1"/>
  <c r="E55" i="5"/>
  <c r="E89" i="5" s="1"/>
  <c r="E54" i="5"/>
  <c r="E88" i="5" s="1"/>
  <c r="E53" i="5"/>
  <c r="E87" i="5" s="1"/>
  <c r="E52" i="5"/>
  <c r="E86" i="5" s="1"/>
  <c r="E51" i="5"/>
  <c r="E85" i="5" s="1"/>
  <c r="E50" i="5"/>
  <c r="E84" i="5" s="1"/>
  <c r="E49" i="5"/>
  <c r="E83" i="5" s="1"/>
  <c r="E48" i="5"/>
  <c r="E82" i="5" s="1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E81" i="5" s="1"/>
  <c r="D38" i="5"/>
  <c r="C38" i="5"/>
  <c r="B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A110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A109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A108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A106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15" i="5"/>
  <c r="D59" i="5" s="1"/>
  <c r="D93" i="5" s="1"/>
  <c r="C15" i="5"/>
  <c r="C59" i="5" s="1"/>
  <c r="C93" i="5" s="1"/>
  <c r="B15" i="5"/>
  <c r="B59" i="5" s="1"/>
  <c r="B93" i="5" s="1"/>
  <c r="A15" i="5"/>
  <c r="A59" i="5" s="1"/>
  <c r="D14" i="5"/>
  <c r="D58" i="5" s="1"/>
  <c r="D92" i="5" s="1"/>
  <c r="C14" i="5"/>
  <c r="C58" i="5" s="1"/>
  <c r="C92" i="5" s="1"/>
  <c r="B14" i="5"/>
  <c r="B58" i="5" s="1"/>
  <c r="B92" i="5" s="1"/>
  <c r="A14" i="5"/>
  <c r="A58" i="5" s="1"/>
  <c r="D13" i="5"/>
  <c r="D57" i="5" s="1"/>
  <c r="D91" i="5" s="1"/>
  <c r="C13" i="5"/>
  <c r="C57" i="5" s="1"/>
  <c r="C91" i="5" s="1"/>
  <c r="B13" i="5"/>
  <c r="B57" i="5" s="1"/>
  <c r="B91" i="5" s="1"/>
  <c r="A13" i="5"/>
  <c r="A57" i="5" s="1"/>
  <c r="D12" i="5"/>
  <c r="D56" i="5" s="1"/>
  <c r="D90" i="5" s="1"/>
  <c r="C12" i="5"/>
  <c r="C56" i="5" s="1"/>
  <c r="C90" i="5" s="1"/>
  <c r="B12" i="5"/>
  <c r="B56" i="5" s="1"/>
  <c r="B90" i="5" s="1"/>
  <c r="A12" i="5"/>
  <c r="A56" i="5" s="1"/>
  <c r="D11" i="5"/>
  <c r="D55" i="5" s="1"/>
  <c r="D89" i="5" s="1"/>
  <c r="C11" i="5"/>
  <c r="C55" i="5" s="1"/>
  <c r="C89" i="5" s="1"/>
  <c r="B11" i="5"/>
  <c r="B55" i="5" s="1"/>
  <c r="B89" i="5" s="1"/>
  <c r="A11" i="5"/>
  <c r="A55" i="5" s="1"/>
  <c r="D10" i="5"/>
  <c r="D54" i="5" s="1"/>
  <c r="D88" i="5" s="1"/>
  <c r="C10" i="5"/>
  <c r="C54" i="5" s="1"/>
  <c r="C88" i="5" s="1"/>
  <c r="B10" i="5"/>
  <c r="B54" i="5" s="1"/>
  <c r="B88" i="5" s="1"/>
  <c r="A10" i="5"/>
  <c r="A54" i="5" s="1"/>
  <c r="D9" i="5"/>
  <c r="D53" i="5" s="1"/>
  <c r="D87" i="5" s="1"/>
  <c r="C9" i="5"/>
  <c r="C53" i="5" s="1"/>
  <c r="C87" i="5" s="1"/>
  <c r="B9" i="5"/>
  <c r="B53" i="5" s="1"/>
  <c r="B87" i="5" s="1"/>
  <c r="A9" i="5"/>
  <c r="A53" i="5" s="1"/>
  <c r="D8" i="5"/>
  <c r="D52" i="5" s="1"/>
  <c r="D86" i="5" s="1"/>
  <c r="C8" i="5"/>
  <c r="C52" i="5" s="1"/>
  <c r="C86" i="5" s="1"/>
  <c r="B8" i="5"/>
  <c r="B52" i="5" s="1"/>
  <c r="B86" i="5" s="1"/>
  <c r="A8" i="5"/>
  <c r="A52" i="5" s="1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F115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F81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F47" i="2"/>
  <c r="E74" i="2"/>
  <c r="E108" i="2" s="1"/>
  <c r="E75" i="2"/>
  <c r="E109" i="2" s="1"/>
  <c r="E76" i="2"/>
  <c r="E110" i="2" s="1"/>
  <c r="E77" i="2"/>
  <c r="E111" i="2" s="1"/>
  <c r="A27" i="2"/>
  <c r="B27" i="2"/>
  <c r="C27" i="2"/>
  <c r="D27" i="2"/>
  <c r="A28" i="2"/>
  <c r="B28" i="2"/>
  <c r="C28" i="2"/>
  <c r="D28" i="2"/>
  <c r="A29" i="2"/>
  <c r="B29" i="2"/>
  <c r="B73" i="2" s="1"/>
  <c r="B107" i="2" s="1"/>
  <c r="C29" i="2"/>
  <c r="C73" i="2" s="1"/>
  <c r="C107" i="2" s="1"/>
  <c r="D29" i="2"/>
  <c r="D73" i="2" s="1"/>
  <c r="D107" i="2" s="1"/>
  <c r="A30" i="2"/>
  <c r="A74" i="2" s="1"/>
  <c r="A108" i="2" s="1"/>
  <c r="B30" i="2"/>
  <c r="B74" i="2" s="1"/>
  <c r="B108" i="2" s="1"/>
  <c r="C30" i="2"/>
  <c r="C74" i="2" s="1"/>
  <c r="C108" i="2" s="1"/>
  <c r="D30" i="2"/>
  <c r="D74" i="2" s="1"/>
  <c r="D108" i="2" s="1"/>
  <c r="A31" i="2"/>
  <c r="A75" i="2" s="1"/>
  <c r="A109" i="2" s="1"/>
  <c r="B31" i="2"/>
  <c r="B75" i="2" s="1"/>
  <c r="B109" i="2" s="1"/>
  <c r="C31" i="2"/>
  <c r="C75" i="2" s="1"/>
  <c r="C109" i="2" s="1"/>
  <c r="D31" i="2"/>
  <c r="D75" i="2" s="1"/>
  <c r="D109" i="2" s="1"/>
  <c r="A32" i="2"/>
  <c r="A76" i="2" s="1"/>
  <c r="A110" i="2" s="1"/>
  <c r="B32" i="2"/>
  <c r="B76" i="2" s="1"/>
  <c r="B110" i="2" s="1"/>
  <c r="C32" i="2"/>
  <c r="C76" i="2" s="1"/>
  <c r="C110" i="2" s="1"/>
  <c r="D32" i="2"/>
  <c r="D76" i="2" s="1"/>
  <c r="D110" i="2" s="1"/>
  <c r="A33" i="2"/>
  <c r="A77" i="2" s="1"/>
  <c r="A111" i="2" s="1"/>
  <c r="B33" i="2"/>
  <c r="B77" i="2" s="1"/>
  <c r="B111" i="2" s="1"/>
  <c r="C33" i="2"/>
  <c r="C77" i="2" s="1"/>
  <c r="C111" i="2" s="1"/>
  <c r="D33" i="2"/>
  <c r="D77" i="2" s="1"/>
  <c r="D111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48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F47" i="1"/>
  <c r="F60" i="5" l="1"/>
  <c r="N60" i="5"/>
  <c r="V60" i="5"/>
  <c r="G60" i="5"/>
  <c r="O60" i="5"/>
  <c r="W60" i="5"/>
  <c r="H60" i="5"/>
  <c r="P60" i="5"/>
  <c r="X60" i="5"/>
  <c r="I60" i="5"/>
  <c r="Q60" i="5"/>
  <c r="Y60" i="5"/>
  <c r="J60" i="5"/>
  <c r="R60" i="5"/>
  <c r="Z60" i="5"/>
  <c r="K60" i="5"/>
  <c r="S60" i="5"/>
  <c r="AA60" i="5"/>
  <c r="U60" i="5"/>
  <c r="L60" i="5"/>
  <c r="T60" i="5"/>
  <c r="M60" i="5"/>
  <c r="J62" i="5"/>
  <c r="R62" i="5"/>
  <c r="Z62" i="5"/>
  <c r="K62" i="5"/>
  <c r="S62" i="5"/>
  <c r="AA62" i="5"/>
  <c r="Q62" i="5"/>
  <c r="Y62" i="5"/>
  <c r="L62" i="5"/>
  <c r="T62" i="5"/>
  <c r="I62" i="5"/>
  <c r="M62" i="5"/>
  <c r="U62" i="5"/>
  <c r="F62" i="5"/>
  <c r="N62" i="5"/>
  <c r="V62" i="5"/>
  <c r="G62" i="5"/>
  <c r="O62" i="5"/>
  <c r="W62" i="5"/>
  <c r="H62" i="5"/>
  <c r="P62" i="5"/>
  <c r="X62" i="5"/>
  <c r="I38" i="5"/>
  <c r="Q38" i="5"/>
  <c r="Y38" i="5"/>
  <c r="J38" i="5"/>
  <c r="R38" i="5"/>
  <c r="Z38" i="5"/>
  <c r="H38" i="5"/>
  <c r="X38" i="5"/>
  <c r="K38" i="5"/>
  <c r="S38" i="5"/>
  <c r="AA38" i="5"/>
  <c r="L38" i="5"/>
  <c r="T38" i="5"/>
  <c r="F38" i="5"/>
  <c r="M38" i="5"/>
  <c r="U38" i="5"/>
  <c r="N38" i="5"/>
  <c r="V38" i="5"/>
  <c r="P38" i="5"/>
  <c r="G38" i="5"/>
  <c r="O38" i="5"/>
  <c r="W38" i="5"/>
  <c r="E38" i="5"/>
  <c r="C80" i="5" s="1"/>
  <c r="F53" i="5"/>
  <c r="G59" i="5"/>
  <c r="O59" i="5"/>
  <c r="W59" i="5"/>
  <c r="H59" i="5"/>
  <c r="P59" i="5"/>
  <c r="X59" i="5"/>
  <c r="N59" i="5"/>
  <c r="I59" i="5"/>
  <c r="Q59" i="5"/>
  <c r="Y59" i="5"/>
  <c r="J59" i="5"/>
  <c r="R59" i="5"/>
  <c r="Z59" i="5"/>
  <c r="K59" i="5"/>
  <c r="S59" i="5"/>
  <c r="AA59" i="5"/>
  <c r="L59" i="5"/>
  <c r="T59" i="5"/>
  <c r="V59" i="5"/>
  <c r="M59" i="5"/>
  <c r="U59" i="5"/>
  <c r="H61" i="5"/>
  <c r="P61" i="5"/>
  <c r="X61" i="5"/>
  <c r="W61" i="5"/>
  <c r="I61" i="5"/>
  <c r="Q61" i="5"/>
  <c r="Y61" i="5"/>
  <c r="J61" i="5"/>
  <c r="R61" i="5"/>
  <c r="Z61" i="5"/>
  <c r="K61" i="5"/>
  <c r="S61" i="5"/>
  <c r="AA61" i="5"/>
  <c r="G61" i="5"/>
  <c r="L61" i="5"/>
  <c r="T61" i="5"/>
  <c r="O61" i="5"/>
  <c r="M61" i="5"/>
  <c r="U61" i="5"/>
  <c r="F61" i="5"/>
  <c r="N61" i="5"/>
  <c r="V61" i="5"/>
  <c r="L63" i="5"/>
  <c r="T63" i="5"/>
  <c r="M63" i="5"/>
  <c r="U63" i="5"/>
  <c r="S63" i="5"/>
  <c r="F63" i="5"/>
  <c r="N63" i="5"/>
  <c r="V63" i="5"/>
  <c r="G63" i="5"/>
  <c r="O63" i="5"/>
  <c r="W63" i="5"/>
  <c r="H63" i="5"/>
  <c r="P63" i="5"/>
  <c r="X63" i="5"/>
  <c r="I63" i="5"/>
  <c r="Q63" i="5"/>
  <c r="Y63" i="5"/>
  <c r="K63" i="5"/>
  <c r="AA63" i="5"/>
  <c r="J63" i="5"/>
  <c r="R63" i="5"/>
  <c r="Z63" i="5"/>
  <c r="M48" i="5"/>
  <c r="V48" i="5"/>
  <c r="N48" i="5"/>
  <c r="G48" i="5"/>
  <c r="O48" i="5"/>
  <c r="W48" i="5"/>
  <c r="Q48" i="5"/>
  <c r="R48" i="5"/>
  <c r="H48" i="5"/>
  <c r="P48" i="5"/>
  <c r="X48" i="5"/>
  <c r="I48" i="5"/>
  <c r="Y48" i="5"/>
  <c r="J48" i="5"/>
  <c r="Z48" i="5"/>
  <c r="K48" i="5"/>
  <c r="S48" i="5"/>
  <c r="AA48" i="5"/>
  <c r="L48" i="5"/>
  <c r="T48" i="5"/>
  <c r="F48" i="5"/>
  <c r="U48" i="5"/>
  <c r="K50" i="5"/>
  <c r="S50" i="5"/>
  <c r="AA50" i="5"/>
  <c r="L50" i="5"/>
  <c r="T50" i="5"/>
  <c r="M50" i="5"/>
  <c r="U50" i="5"/>
  <c r="O50" i="5"/>
  <c r="X50" i="5"/>
  <c r="F50" i="5"/>
  <c r="N50" i="5"/>
  <c r="V50" i="5"/>
  <c r="G50" i="5"/>
  <c r="W50" i="5"/>
  <c r="P50" i="5"/>
  <c r="H50" i="5"/>
  <c r="I50" i="5"/>
  <c r="Q50" i="5"/>
  <c r="Y50" i="5"/>
  <c r="J50" i="5"/>
  <c r="R50" i="5"/>
  <c r="Z50" i="5"/>
  <c r="G52" i="5"/>
  <c r="O52" i="5"/>
  <c r="H52" i="5"/>
  <c r="P52" i="5"/>
  <c r="X52" i="5"/>
  <c r="I52" i="5"/>
  <c r="Q52" i="5"/>
  <c r="Y52" i="5"/>
  <c r="K52" i="5"/>
  <c r="AA52" i="5"/>
  <c r="T52" i="5"/>
  <c r="J52" i="5"/>
  <c r="R52" i="5"/>
  <c r="Z52" i="5"/>
  <c r="S52" i="5"/>
  <c r="L52" i="5"/>
  <c r="M52" i="5"/>
  <c r="U52" i="5"/>
  <c r="F52" i="5"/>
  <c r="N52" i="5"/>
  <c r="V52" i="5"/>
  <c r="W52" i="5"/>
  <c r="K54" i="5"/>
  <c r="AA54" i="5"/>
  <c r="L54" i="5"/>
  <c r="T54" i="5"/>
  <c r="M54" i="5"/>
  <c r="U54" i="5"/>
  <c r="O54" i="5"/>
  <c r="X54" i="5"/>
  <c r="F54" i="5"/>
  <c r="N54" i="5"/>
  <c r="V54" i="5"/>
  <c r="G54" i="5"/>
  <c r="W54" i="5"/>
  <c r="P54" i="5"/>
  <c r="H54" i="5"/>
  <c r="I54" i="5"/>
  <c r="Q54" i="5"/>
  <c r="Y54" i="5"/>
  <c r="J54" i="5"/>
  <c r="R54" i="5"/>
  <c r="Z54" i="5"/>
  <c r="S54" i="5"/>
  <c r="A90" i="5"/>
  <c r="H56" i="5"/>
  <c r="P56" i="5"/>
  <c r="X56" i="5"/>
  <c r="I56" i="5"/>
  <c r="Q56" i="5"/>
  <c r="Y56" i="5"/>
  <c r="AA56" i="5"/>
  <c r="O56" i="5"/>
  <c r="J56" i="5"/>
  <c r="R56" i="5"/>
  <c r="Z56" i="5"/>
  <c r="K56" i="5"/>
  <c r="S56" i="5"/>
  <c r="T56" i="5"/>
  <c r="G56" i="5"/>
  <c r="L56" i="5"/>
  <c r="M56" i="5"/>
  <c r="U56" i="5"/>
  <c r="F56" i="5"/>
  <c r="N56" i="5"/>
  <c r="V56" i="5"/>
  <c r="W56" i="5"/>
  <c r="M58" i="5"/>
  <c r="U58" i="5"/>
  <c r="W58" i="5"/>
  <c r="H58" i="5"/>
  <c r="AA58" i="5"/>
  <c r="F58" i="5"/>
  <c r="N58" i="5"/>
  <c r="V58" i="5"/>
  <c r="G58" i="5"/>
  <c r="X58" i="5"/>
  <c r="K58" i="5"/>
  <c r="O58" i="5"/>
  <c r="L58" i="5"/>
  <c r="P58" i="5"/>
  <c r="T58" i="5"/>
  <c r="I58" i="5"/>
  <c r="Q58" i="5"/>
  <c r="Y58" i="5"/>
  <c r="J58" i="5"/>
  <c r="R58" i="5"/>
  <c r="Z58" i="5"/>
  <c r="S58" i="5"/>
  <c r="I49" i="5"/>
  <c r="Q49" i="5"/>
  <c r="Y49" i="5"/>
  <c r="J49" i="5"/>
  <c r="R49" i="5"/>
  <c r="Z49" i="5"/>
  <c r="K49" i="5"/>
  <c r="S49" i="5"/>
  <c r="AA49" i="5"/>
  <c r="L49" i="5"/>
  <c r="T49" i="5"/>
  <c r="M49" i="5"/>
  <c r="U49" i="5"/>
  <c r="F49" i="5"/>
  <c r="V49" i="5"/>
  <c r="N49" i="5"/>
  <c r="G49" i="5"/>
  <c r="O49" i="5"/>
  <c r="W49" i="5"/>
  <c r="H49" i="5"/>
  <c r="P49" i="5"/>
  <c r="X49" i="5"/>
  <c r="M51" i="5"/>
  <c r="U51" i="5"/>
  <c r="F51" i="5"/>
  <c r="N51" i="5"/>
  <c r="V51" i="5"/>
  <c r="G51" i="5"/>
  <c r="O51" i="5"/>
  <c r="W51" i="5"/>
  <c r="Q51" i="5"/>
  <c r="H51" i="5"/>
  <c r="P51" i="5"/>
  <c r="X51" i="5"/>
  <c r="I51" i="5"/>
  <c r="Y51" i="5"/>
  <c r="R51" i="5"/>
  <c r="Z51" i="5"/>
  <c r="J51" i="5"/>
  <c r="K51" i="5"/>
  <c r="S51" i="5"/>
  <c r="AA51" i="5"/>
  <c r="L51" i="5"/>
  <c r="T51" i="5"/>
  <c r="I53" i="5"/>
  <c r="Q53" i="5"/>
  <c r="Y53" i="5"/>
  <c r="J53" i="5"/>
  <c r="R53" i="5"/>
  <c r="Z53" i="5"/>
  <c r="K53" i="5"/>
  <c r="S53" i="5"/>
  <c r="AA53" i="5"/>
  <c r="U53" i="5"/>
  <c r="V53" i="5"/>
  <c r="L53" i="5"/>
  <c r="T53" i="5"/>
  <c r="M53" i="5"/>
  <c r="N53" i="5"/>
  <c r="G53" i="5"/>
  <c r="O53" i="5"/>
  <c r="W53" i="5"/>
  <c r="H53" i="5"/>
  <c r="P53" i="5"/>
  <c r="X53" i="5"/>
  <c r="U55" i="5"/>
  <c r="F55" i="5"/>
  <c r="N55" i="5"/>
  <c r="V55" i="5"/>
  <c r="G55" i="5"/>
  <c r="O55" i="5"/>
  <c r="W55" i="5"/>
  <c r="I55" i="5"/>
  <c r="Y55" i="5"/>
  <c r="Z55" i="5"/>
  <c r="H55" i="5"/>
  <c r="P55" i="5"/>
  <c r="X55" i="5"/>
  <c r="Q55" i="5"/>
  <c r="J55" i="5"/>
  <c r="R55" i="5"/>
  <c r="K55" i="5"/>
  <c r="S55" i="5"/>
  <c r="AA55" i="5"/>
  <c r="L55" i="5"/>
  <c r="T55" i="5"/>
  <c r="M55" i="5"/>
  <c r="Q57" i="5"/>
  <c r="J57" i="5"/>
  <c r="R57" i="5"/>
  <c r="K57" i="5"/>
  <c r="S57" i="5"/>
  <c r="AA57" i="5"/>
  <c r="U57" i="5"/>
  <c r="F57" i="5"/>
  <c r="L57" i="5"/>
  <c r="T57" i="5"/>
  <c r="M57" i="5"/>
  <c r="V57" i="5"/>
  <c r="Z57" i="5"/>
  <c r="I57" i="5"/>
  <c r="N57" i="5"/>
  <c r="Y57" i="5"/>
  <c r="G57" i="5"/>
  <c r="O57" i="5"/>
  <c r="W57" i="5"/>
  <c r="H57" i="5"/>
  <c r="P57" i="5"/>
  <c r="X57" i="5"/>
  <c r="F59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F97" i="5" l="1"/>
  <c r="N97" i="5"/>
  <c r="V97" i="5"/>
  <c r="G97" i="5"/>
  <c r="O97" i="5"/>
  <c r="W97" i="5"/>
  <c r="H97" i="5"/>
  <c r="P97" i="5"/>
  <c r="X97" i="5"/>
  <c r="I97" i="5"/>
  <c r="Q97" i="5"/>
  <c r="Y97" i="5"/>
  <c r="J97" i="5"/>
  <c r="R97" i="5"/>
  <c r="Z97" i="5"/>
  <c r="T97" i="5"/>
  <c r="K97" i="5"/>
  <c r="S97" i="5"/>
  <c r="AA97" i="5"/>
  <c r="L97" i="5"/>
  <c r="M97" i="5"/>
  <c r="U97" i="5"/>
  <c r="F96" i="5"/>
  <c r="G96" i="5"/>
  <c r="O96" i="5"/>
  <c r="W96" i="5"/>
  <c r="M96" i="5"/>
  <c r="N96" i="5"/>
  <c r="H96" i="5"/>
  <c r="P96" i="5"/>
  <c r="X96" i="5"/>
  <c r="U96" i="5"/>
  <c r="V96" i="5"/>
  <c r="I96" i="5"/>
  <c r="Q96" i="5"/>
  <c r="Y96" i="5"/>
  <c r="J96" i="5"/>
  <c r="R96" i="5"/>
  <c r="Z96" i="5"/>
  <c r="T96" i="5"/>
  <c r="K96" i="5"/>
  <c r="S96" i="5"/>
  <c r="AA96" i="5"/>
  <c r="L96" i="5"/>
  <c r="F83" i="5"/>
  <c r="F94" i="5"/>
  <c r="U82" i="5"/>
  <c r="H84" i="5"/>
  <c r="S86" i="5"/>
  <c r="L88" i="5"/>
  <c r="W90" i="5"/>
  <c r="J86" i="5"/>
  <c r="N90" i="5"/>
  <c r="Y92" i="5"/>
  <c r="P92" i="5"/>
  <c r="AA94" i="5"/>
  <c r="Q84" i="5"/>
  <c r="O82" i="5"/>
  <c r="G92" i="5"/>
  <c r="R94" i="5"/>
  <c r="S82" i="5"/>
  <c r="U88" i="5"/>
  <c r="Q82" i="5"/>
  <c r="I94" i="5"/>
  <c r="I91" i="5"/>
  <c r="T85" i="5"/>
  <c r="Z91" i="5"/>
  <c r="G86" i="5"/>
  <c r="O94" i="5"/>
  <c r="T90" i="5"/>
  <c r="X86" i="5"/>
  <c r="G87" i="5"/>
  <c r="W82" i="5"/>
  <c r="G84" i="5"/>
  <c r="O92" i="5"/>
  <c r="V90" i="5"/>
  <c r="AA86" i="5"/>
  <c r="K85" i="5"/>
  <c r="Q88" i="5"/>
  <c r="W94" i="5"/>
  <c r="Q89" i="5"/>
  <c r="U85" i="5"/>
  <c r="I89" i="5"/>
  <c r="G82" i="5"/>
  <c r="O84" i="5"/>
  <c r="Q86" i="5"/>
  <c r="S88" i="5"/>
  <c r="U90" i="5"/>
  <c r="W92" i="5"/>
  <c r="Y94" i="5"/>
  <c r="X84" i="5"/>
  <c r="Z86" i="5"/>
  <c r="F89" i="5"/>
  <c r="H91" i="5"/>
  <c r="J93" i="5"/>
  <c r="J116" i="5" s="1"/>
  <c r="L95" i="5"/>
  <c r="Q83" i="5"/>
  <c r="S85" i="5"/>
  <c r="U87" i="5"/>
  <c r="W89" i="5"/>
  <c r="Y91" i="5"/>
  <c r="AA93" i="5"/>
  <c r="AA116" i="5" s="1"/>
  <c r="G88" i="5"/>
  <c r="I90" i="5"/>
  <c r="I118" i="5" s="1"/>
  <c r="K92" i="5"/>
  <c r="M94" i="5"/>
  <c r="U84" i="5"/>
  <c r="W86" i="5"/>
  <c r="Y88" i="5"/>
  <c r="AA90" i="5"/>
  <c r="R90" i="5"/>
  <c r="N84" i="5"/>
  <c r="V92" i="5"/>
  <c r="V86" i="5"/>
  <c r="Z88" i="5"/>
  <c r="F86" i="5"/>
  <c r="J88" i="5"/>
  <c r="K91" i="5"/>
  <c r="Q95" i="5"/>
  <c r="K93" i="5"/>
  <c r="K116" i="5" s="1"/>
  <c r="V87" i="5"/>
  <c r="I88" i="5"/>
  <c r="P88" i="5"/>
  <c r="F84" i="5"/>
  <c r="I86" i="5"/>
  <c r="R86" i="5"/>
  <c r="Y84" i="5"/>
  <c r="S93" i="5"/>
  <c r="S116" i="5" s="1"/>
  <c r="M84" i="5"/>
  <c r="S90" i="5"/>
  <c r="M83" i="5"/>
  <c r="U91" i="5"/>
  <c r="O93" i="5"/>
  <c r="O116" i="5" s="1"/>
  <c r="F82" i="5"/>
  <c r="H82" i="5"/>
  <c r="J82" i="5"/>
  <c r="L82" i="5"/>
  <c r="N82" i="5"/>
  <c r="W84" i="5"/>
  <c r="Y86" i="5"/>
  <c r="AA88" i="5"/>
  <c r="G91" i="5"/>
  <c r="I93" i="5"/>
  <c r="I116" i="5" s="1"/>
  <c r="K95" i="5"/>
  <c r="H83" i="5"/>
  <c r="J85" i="5"/>
  <c r="L87" i="5"/>
  <c r="N89" i="5"/>
  <c r="P91" i="5"/>
  <c r="R93" i="5"/>
  <c r="R116" i="5" s="1"/>
  <c r="T95" i="5"/>
  <c r="Y83" i="5"/>
  <c r="AA85" i="5"/>
  <c r="K84" i="5"/>
  <c r="M86" i="5"/>
  <c r="O88" i="5"/>
  <c r="Q90" i="5"/>
  <c r="S92" i="5"/>
  <c r="U94" i="5"/>
  <c r="F93" i="5"/>
  <c r="F116" i="5" s="1"/>
  <c r="H95" i="5"/>
  <c r="K83" i="5"/>
  <c r="S91" i="5"/>
  <c r="O85" i="5"/>
  <c r="W93" i="5"/>
  <c r="W116" i="5" s="1"/>
  <c r="W87" i="5"/>
  <c r="AA89" i="5"/>
  <c r="AA83" i="5"/>
  <c r="H88" i="5"/>
  <c r="L90" i="5"/>
  <c r="M93" i="5"/>
  <c r="M116" i="5" s="1"/>
  <c r="G89" i="5"/>
  <c r="R83" i="5"/>
  <c r="K90" i="5"/>
  <c r="I95" i="5"/>
  <c r="Y82" i="5"/>
  <c r="K88" i="5"/>
  <c r="X92" i="5"/>
  <c r="M87" i="5"/>
  <c r="Z83" i="5"/>
  <c r="Y87" i="5"/>
  <c r="P82" i="5"/>
  <c r="R82" i="5"/>
  <c r="T82" i="5"/>
  <c r="V82" i="5"/>
  <c r="F91" i="5"/>
  <c r="H93" i="5"/>
  <c r="H116" i="5" s="1"/>
  <c r="J95" i="5"/>
  <c r="G83" i="5"/>
  <c r="I85" i="5"/>
  <c r="K87" i="5"/>
  <c r="M89" i="5"/>
  <c r="O91" i="5"/>
  <c r="Q93" i="5"/>
  <c r="Q116" i="5" s="1"/>
  <c r="S95" i="5"/>
  <c r="P83" i="5"/>
  <c r="R85" i="5"/>
  <c r="T87" i="5"/>
  <c r="V89" i="5"/>
  <c r="X91" i="5"/>
  <c r="Z93" i="5"/>
  <c r="Z116" i="5" s="1"/>
  <c r="F88" i="5"/>
  <c r="H90" i="5"/>
  <c r="J92" i="5"/>
  <c r="L94" i="5"/>
  <c r="S84" i="5"/>
  <c r="U86" i="5"/>
  <c r="W88" i="5"/>
  <c r="Y90" i="5"/>
  <c r="AA92" i="5"/>
  <c r="F85" i="5"/>
  <c r="H87" i="5"/>
  <c r="J89" i="5"/>
  <c r="L91" i="5"/>
  <c r="N93" i="5"/>
  <c r="N116" i="5" s="1"/>
  <c r="P95" i="5"/>
  <c r="L84" i="5"/>
  <c r="T92" i="5"/>
  <c r="P86" i="5"/>
  <c r="X94" i="5"/>
  <c r="X88" i="5"/>
  <c r="J90" i="5"/>
  <c r="N92" i="5"/>
  <c r="O95" i="5"/>
  <c r="M95" i="5"/>
  <c r="X89" i="5"/>
  <c r="T84" i="5"/>
  <c r="M91" i="5"/>
  <c r="P84" i="5"/>
  <c r="Z94" i="5"/>
  <c r="O89" i="5"/>
  <c r="Z82" i="5"/>
  <c r="H85" i="5"/>
  <c r="N91" i="5"/>
  <c r="R95" i="5"/>
  <c r="Q85" i="5"/>
  <c r="U89" i="5"/>
  <c r="AA95" i="5"/>
  <c r="Z85" i="5"/>
  <c r="J84" i="5"/>
  <c r="N88" i="5"/>
  <c r="P90" i="5"/>
  <c r="R92" i="5"/>
  <c r="T94" i="5"/>
  <c r="AA84" i="5"/>
  <c r="F95" i="5"/>
  <c r="L83" i="5"/>
  <c r="N85" i="5"/>
  <c r="P87" i="5"/>
  <c r="R89" i="5"/>
  <c r="T91" i="5"/>
  <c r="V93" i="5"/>
  <c r="V116" i="5" s="1"/>
  <c r="X95" i="5"/>
  <c r="M85" i="5"/>
  <c r="U93" i="5"/>
  <c r="U116" i="5" s="1"/>
  <c r="Q87" i="5"/>
  <c r="Y95" i="5"/>
  <c r="Y89" i="5"/>
  <c r="U83" i="5"/>
  <c r="L92" i="5"/>
  <c r="P94" i="5"/>
  <c r="G85" i="5"/>
  <c r="AA82" i="5"/>
  <c r="M90" i="5"/>
  <c r="Q94" i="5"/>
  <c r="T88" i="5"/>
  <c r="I83" i="5"/>
  <c r="Q91" i="5"/>
  <c r="U95" i="5"/>
  <c r="O86" i="5"/>
  <c r="U92" i="5"/>
  <c r="H86" i="5"/>
  <c r="X82" i="5"/>
  <c r="J87" i="5"/>
  <c r="L89" i="5"/>
  <c r="L117" i="5" s="1"/>
  <c r="P93" i="5"/>
  <c r="P116" i="5" s="1"/>
  <c r="O83" i="5"/>
  <c r="S87" i="5"/>
  <c r="W91" i="5"/>
  <c r="Y93" i="5"/>
  <c r="Y116" i="5" s="1"/>
  <c r="X83" i="5"/>
  <c r="L86" i="5"/>
  <c r="N83" i="5"/>
  <c r="P85" i="5"/>
  <c r="R87" i="5"/>
  <c r="T89" i="5"/>
  <c r="V91" i="5"/>
  <c r="X93" i="5"/>
  <c r="X116" i="5" s="1"/>
  <c r="Z95" i="5"/>
  <c r="W83" i="5"/>
  <c r="Y85" i="5"/>
  <c r="AA87" i="5"/>
  <c r="G90" i="5"/>
  <c r="I92" i="5"/>
  <c r="K94" i="5"/>
  <c r="R84" i="5"/>
  <c r="T86" i="5"/>
  <c r="V88" i="5"/>
  <c r="X90" i="5"/>
  <c r="Z92" i="5"/>
  <c r="F87" i="5"/>
  <c r="H89" i="5"/>
  <c r="J91" i="5"/>
  <c r="L93" i="5"/>
  <c r="L116" i="5" s="1"/>
  <c r="N95" i="5"/>
  <c r="T83" i="5"/>
  <c r="V85" i="5"/>
  <c r="X87" i="5"/>
  <c r="Z89" i="5"/>
  <c r="N86" i="5"/>
  <c r="V94" i="5"/>
  <c r="R88" i="5"/>
  <c r="Z90" i="5"/>
  <c r="V84" i="5"/>
  <c r="F92" i="5"/>
  <c r="N94" i="5"/>
  <c r="I87" i="5"/>
  <c r="G93" i="5"/>
  <c r="G116" i="5" s="1"/>
  <c r="G95" i="5"/>
  <c r="M92" i="5"/>
  <c r="I82" i="5"/>
  <c r="K82" i="5"/>
  <c r="M82" i="5"/>
  <c r="V83" i="5"/>
  <c r="X85" i="5"/>
  <c r="Z87" i="5"/>
  <c r="F90" i="5"/>
  <c r="H92" i="5"/>
  <c r="J94" i="5"/>
  <c r="I84" i="5"/>
  <c r="K86" i="5"/>
  <c r="M88" i="5"/>
  <c r="O90" i="5"/>
  <c r="Q92" i="5"/>
  <c r="S94" i="5"/>
  <c r="Z84" i="5"/>
  <c r="J83" i="5"/>
  <c r="L85" i="5"/>
  <c r="N87" i="5"/>
  <c r="P89" i="5"/>
  <c r="P118" i="5" s="1"/>
  <c r="R91" i="5"/>
  <c r="T93" i="5"/>
  <c r="T116" i="5" s="1"/>
  <c r="V95" i="5"/>
  <c r="G94" i="5"/>
  <c r="O87" i="5"/>
  <c r="W95" i="5"/>
  <c r="S89" i="5"/>
  <c r="S118" i="5" s="1"/>
  <c r="S83" i="5"/>
  <c r="AA91" i="5"/>
  <c r="AA117" i="5" s="1"/>
  <c r="W85" i="5"/>
  <c r="H94" i="5"/>
  <c r="K89" i="5"/>
  <c r="K117" i="5" s="1"/>
  <c r="G118" i="5" l="1"/>
  <c r="N117" i="5"/>
  <c r="M118" i="5"/>
  <c r="O117" i="5"/>
  <c r="V118" i="5"/>
  <c r="AA118" i="5"/>
  <c r="H118" i="5"/>
  <c r="T118" i="5"/>
  <c r="Z117" i="5"/>
  <c r="U118" i="5"/>
  <c r="J118" i="5"/>
  <c r="F117" i="5"/>
  <c r="N118" i="5"/>
  <c r="W118" i="5"/>
  <c r="V117" i="5"/>
  <c r="I117" i="5"/>
  <c r="Y117" i="5"/>
  <c r="R117" i="5"/>
  <c r="X117" i="5"/>
  <c r="Q118" i="5"/>
  <c r="S117" i="5"/>
  <c r="X118" i="5"/>
  <c r="L118" i="5"/>
  <c r="O118" i="5"/>
  <c r="J117" i="5"/>
  <c r="Y118" i="5"/>
  <c r="T117" i="5"/>
  <c r="Q117" i="5"/>
  <c r="K118" i="5"/>
  <c r="F118" i="5"/>
  <c r="H117" i="5"/>
  <c r="U117" i="5"/>
  <c r="M117" i="5"/>
  <c r="Z118" i="5"/>
  <c r="P117" i="5"/>
  <c r="G117" i="5"/>
  <c r="W117" i="5"/>
  <c r="R118" i="5"/>
  <c r="A71" i="2"/>
  <c r="B71" i="2"/>
  <c r="B105" i="2" s="1"/>
  <c r="C71" i="2"/>
  <c r="C105" i="2" s="1"/>
  <c r="D71" i="2"/>
  <c r="D105" i="2" s="1"/>
  <c r="A72" i="2"/>
  <c r="B72" i="2"/>
  <c r="B106" i="2" s="1"/>
  <c r="C72" i="2"/>
  <c r="C106" i="2" s="1"/>
  <c r="D72" i="2"/>
  <c r="D106" i="2" s="1"/>
  <c r="A73" i="2"/>
  <c r="E49" i="2"/>
  <c r="E83" i="2" s="1"/>
  <c r="E50" i="2"/>
  <c r="E84" i="2" s="1"/>
  <c r="E51" i="2"/>
  <c r="E85" i="2" s="1"/>
  <c r="E52" i="2"/>
  <c r="E86" i="2" s="1"/>
  <c r="E53" i="2"/>
  <c r="E87" i="2" s="1"/>
  <c r="E54" i="2"/>
  <c r="E55" i="2"/>
  <c r="E89" i="2" s="1"/>
  <c r="E56" i="2"/>
  <c r="E90" i="2" s="1"/>
  <c r="E57" i="2"/>
  <c r="E91" i="2" s="1"/>
  <c r="E58" i="2"/>
  <c r="E92" i="2" s="1"/>
  <c r="E59" i="2"/>
  <c r="E60" i="2"/>
  <c r="E94" i="2" s="1"/>
  <c r="E61" i="2"/>
  <c r="E95" i="2" s="1"/>
  <c r="E62" i="2"/>
  <c r="E63" i="2"/>
  <c r="E97" i="2" s="1"/>
  <c r="E64" i="2"/>
  <c r="E98" i="2" s="1"/>
  <c r="E65" i="2"/>
  <c r="E99" i="2" s="1"/>
  <c r="E66" i="2"/>
  <c r="E100" i="2" s="1"/>
  <c r="E67" i="2"/>
  <c r="E68" i="2"/>
  <c r="E102" i="2" s="1"/>
  <c r="E69" i="2"/>
  <c r="E103" i="2" s="1"/>
  <c r="E70" i="2"/>
  <c r="E48" i="2"/>
  <c r="E82" i="2" s="1"/>
  <c r="E71" i="2"/>
  <c r="E105" i="2" s="1"/>
  <c r="E72" i="2"/>
  <c r="E106" i="2" s="1"/>
  <c r="E73" i="2"/>
  <c r="E107" i="2" s="1"/>
  <c r="E47" i="2"/>
  <c r="E81" i="2" s="1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F37" i="2"/>
  <c r="W38" i="2" l="1"/>
  <c r="W39" i="2"/>
  <c r="O39" i="2"/>
  <c r="O38" i="2"/>
  <c r="G38" i="2"/>
  <c r="G39" i="2"/>
  <c r="N39" i="2"/>
  <c r="N38" i="2"/>
  <c r="U38" i="2"/>
  <c r="U39" i="2"/>
  <c r="X39" i="2"/>
  <c r="X38" i="2"/>
  <c r="H38" i="2"/>
  <c r="H39" i="2"/>
  <c r="V39" i="2"/>
  <c r="V38" i="2"/>
  <c r="M38" i="2"/>
  <c r="M39" i="2"/>
  <c r="T38" i="2"/>
  <c r="T39" i="2"/>
  <c r="L39" i="2"/>
  <c r="L38" i="2"/>
  <c r="S38" i="2"/>
  <c r="S39" i="2"/>
  <c r="K39" i="2"/>
  <c r="K38" i="2"/>
  <c r="P39" i="2"/>
  <c r="P38" i="2"/>
  <c r="R38" i="2"/>
  <c r="R39" i="2"/>
  <c r="J39" i="2"/>
  <c r="J38" i="2"/>
  <c r="F39" i="2"/>
  <c r="F38" i="2"/>
  <c r="Q39" i="2"/>
  <c r="Q38" i="2"/>
  <c r="I39" i="2"/>
  <c r="I38" i="2"/>
  <c r="P120" i="5"/>
  <c r="Y120" i="5"/>
  <c r="L120" i="5"/>
  <c r="M120" i="5"/>
  <c r="R120" i="5"/>
  <c r="O120" i="5"/>
  <c r="N120" i="5"/>
  <c r="J120" i="5"/>
  <c r="H120" i="5"/>
  <c r="AA120" i="5"/>
  <c r="S120" i="5"/>
  <c r="T120" i="5"/>
  <c r="X120" i="5"/>
  <c r="K120" i="5"/>
  <c r="G120" i="5"/>
  <c r="Q120" i="5"/>
  <c r="W120" i="5"/>
  <c r="V120" i="5"/>
  <c r="Z120" i="5"/>
  <c r="U120" i="5"/>
  <c r="I120" i="5"/>
  <c r="F120" i="5"/>
  <c r="A105" i="2"/>
  <c r="A107" i="2"/>
  <c r="A106" i="2"/>
  <c r="E101" i="2"/>
  <c r="E104" i="2"/>
  <c r="E88" i="2"/>
  <c r="E93" i="2"/>
  <c r="E96" i="2"/>
  <c r="A5" i="2" l="1"/>
  <c r="A49" i="2" s="1"/>
  <c r="B5" i="2"/>
  <c r="B49" i="2" s="1"/>
  <c r="B83" i="2" s="1"/>
  <c r="C5" i="2"/>
  <c r="C49" i="2" s="1"/>
  <c r="C83" i="2" s="1"/>
  <c r="D5" i="2"/>
  <c r="D49" i="2" s="1"/>
  <c r="D83" i="2" s="1"/>
  <c r="A6" i="2"/>
  <c r="A50" i="2" s="1"/>
  <c r="B6" i="2"/>
  <c r="B50" i="2" s="1"/>
  <c r="B84" i="2" s="1"/>
  <c r="C6" i="2"/>
  <c r="C50" i="2" s="1"/>
  <c r="C84" i="2" s="1"/>
  <c r="D6" i="2"/>
  <c r="D50" i="2" s="1"/>
  <c r="D84" i="2" s="1"/>
  <c r="A7" i="2"/>
  <c r="A51" i="2" s="1"/>
  <c r="B7" i="2"/>
  <c r="B51" i="2" s="1"/>
  <c r="B85" i="2" s="1"/>
  <c r="C7" i="2"/>
  <c r="C51" i="2" s="1"/>
  <c r="C85" i="2" s="1"/>
  <c r="D7" i="2"/>
  <c r="D51" i="2" s="1"/>
  <c r="D85" i="2" s="1"/>
  <c r="A8" i="2"/>
  <c r="A52" i="2" s="1"/>
  <c r="B8" i="2"/>
  <c r="B52" i="2" s="1"/>
  <c r="B86" i="2" s="1"/>
  <c r="C8" i="2"/>
  <c r="C52" i="2" s="1"/>
  <c r="C86" i="2" s="1"/>
  <c r="D8" i="2"/>
  <c r="D52" i="2" s="1"/>
  <c r="D86" i="2" s="1"/>
  <c r="A9" i="2"/>
  <c r="A53" i="2" s="1"/>
  <c r="B9" i="2"/>
  <c r="B53" i="2" s="1"/>
  <c r="B87" i="2" s="1"/>
  <c r="C9" i="2"/>
  <c r="C53" i="2" s="1"/>
  <c r="C87" i="2" s="1"/>
  <c r="D9" i="2"/>
  <c r="D53" i="2" s="1"/>
  <c r="D87" i="2" s="1"/>
  <c r="A10" i="2"/>
  <c r="A54" i="2" s="1"/>
  <c r="B10" i="2"/>
  <c r="B54" i="2" s="1"/>
  <c r="B88" i="2" s="1"/>
  <c r="C10" i="2"/>
  <c r="C54" i="2" s="1"/>
  <c r="C88" i="2" s="1"/>
  <c r="D10" i="2"/>
  <c r="D54" i="2" s="1"/>
  <c r="D88" i="2" s="1"/>
  <c r="A11" i="2"/>
  <c r="A55" i="2" s="1"/>
  <c r="B11" i="2"/>
  <c r="B55" i="2" s="1"/>
  <c r="B89" i="2" s="1"/>
  <c r="C11" i="2"/>
  <c r="C55" i="2" s="1"/>
  <c r="C89" i="2" s="1"/>
  <c r="D11" i="2"/>
  <c r="D55" i="2" s="1"/>
  <c r="D89" i="2" s="1"/>
  <c r="A12" i="2"/>
  <c r="A56" i="2" s="1"/>
  <c r="B12" i="2"/>
  <c r="B56" i="2" s="1"/>
  <c r="B90" i="2" s="1"/>
  <c r="C12" i="2"/>
  <c r="C56" i="2" s="1"/>
  <c r="C90" i="2" s="1"/>
  <c r="D12" i="2"/>
  <c r="D56" i="2" s="1"/>
  <c r="D90" i="2" s="1"/>
  <c r="A13" i="2"/>
  <c r="A57" i="2" s="1"/>
  <c r="B13" i="2"/>
  <c r="B57" i="2" s="1"/>
  <c r="B91" i="2" s="1"/>
  <c r="C13" i="2"/>
  <c r="C57" i="2" s="1"/>
  <c r="C91" i="2" s="1"/>
  <c r="D13" i="2"/>
  <c r="D57" i="2" s="1"/>
  <c r="D91" i="2" s="1"/>
  <c r="A14" i="2"/>
  <c r="A58" i="2" s="1"/>
  <c r="B14" i="2"/>
  <c r="B58" i="2" s="1"/>
  <c r="B92" i="2" s="1"/>
  <c r="C14" i="2"/>
  <c r="C58" i="2" s="1"/>
  <c r="C92" i="2" s="1"/>
  <c r="D14" i="2"/>
  <c r="D58" i="2" s="1"/>
  <c r="D92" i="2" s="1"/>
  <c r="A15" i="2"/>
  <c r="A59" i="2" s="1"/>
  <c r="B15" i="2"/>
  <c r="B59" i="2" s="1"/>
  <c r="B93" i="2" s="1"/>
  <c r="C15" i="2"/>
  <c r="C59" i="2" s="1"/>
  <c r="C93" i="2" s="1"/>
  <c r="D15" i="2"/>
  <c r="D59" i="2" s="1"/>
  <c r="D93" i="2" s="1"/>
  <c r="A16" i="2"/>
  <c r="A60" i="2" s="1"/>
  <c r="B16" i="2"/>
  <c r="B60" i="2" s="1"/>
  <c r="B94" i="2" s="1"/>
  <c r="C16" i="2"/>
  <c r="C60" i="2" s="1"/>
  <c r="C94" i="2" s="1"/>
  <c r="D16" i="2"/>
  <c r="D60" i="2" s="1"/>
  <c r="D94" i="2" s="1"/>
  <c r="A17" i="2"/>
  <c r="A61" i="2" s="1"/>
  <c r="B17" i="2"/>
  <c r="B61" i="2" s="1"/>
  <c r="B95" i="2" s="1"/>
  <c r="C17" i="2"/>
  <c r="C61" i="2" s="1"/>
  <c r="C95" i="2" s="1"/>
  <c r="D17" i="2"/>
  <c r="D61" i="2" s="1"/>
  <c r="D95" i="2" s="1"/>
  <c r="A18" i="2"/>
  <c r="A62" i="2" s="1"/>
  <c r="B18" i="2"/>
  <c r="B62" i="2" s="1"/>
  <c r="B96" i="2" s="1"/>
  <c r="C18" i="2"/>
  <c r="C62" i="2" s="1"/>
  <c r="C96" i="2" s="1"/>
  <c r="D18" i="2"/>
  <c r="D62" i="2" s="1"/>
  <c r="D96" i="2" s="1"/>
  <c r="A19" i="2"/>
  <c r="A63" i="2" s="1"/>
  <c r="B19" i="2"/>
  <c r="B63" i="2" s="1"/>
  <c r="B97" i="2" s="1"/>
  <c r="C19" i="2"/>
  <c r="C63" i="2" s="1"/>
  <c r="C97" i="2" s="1"/>
  <c r="D19" i="2"/>
  <c r="D63" i="2" s="1"/>
  <c r="D97" i="2" s="1"/>
  <c r="A20" i="2"/>
  <c r="A64" i="2" s="1"/>
  <c r="B20" i="2"/>
  <c r="B64" i="2" s="1"/>
  <c r="B98" i="2" s="1"/>
  <c r="C20" i="2"/>
  <c r="C64" i="2" s="1"/>
  <c r="C98" i="2" s="1"/>
  <c r="D20" i="2"/>
  <c r="D64" i="2" s="1"/>
  <c r="D98" i="2" s="1"/>
  <c r="A21" i="2"/>
  <c r="A65" i="2" s="1"/>
  <c r="B21" i="2"/>
  <c r="B65" i="2" s="1"/>
  <c r="B99" i="2" s="1"/>
  <c r="C21" i="2"/>
  <c r="C65" i="2" s="1"/>
  <c r="C99" i="2" s="1"/>
  <c r="D21" i="2"/>
  <c r="D65" i="2" s="1"/>
  <c r="D99" i="2" s="1"/>
  <c r="A22" i="2"/>
  <c r="A66" i="2" s="1"/>
  <c r="B22" i="2"/>
  <c r="B66" i="2" s="1"/>
  <c r="B100" i="2" s="1"/>
  <c r="C22" i="2"/>
  <c r="C66" i="2" s="1"/>
  <c r="C100" i="2" s="1"/>
  <c r="D22" i="2"/>
  <c r="D66" i="2" s="1"/>
  <c r="D100" i="2" s="1"/>
  <c r="A23" i="2"/>
  <c r="A67" i="2" s="1"/>
  <c r="B23" i="2"/>
  <c r="B67" i="2" s="1"/>
  <c r="B101" i="2" s="1"/>
  <c r="C23" i="2"/>
  <c r="C67" i="2" s="1"/>
  <c r="C101" i="2" s="1"/>
  <c r="D23" i="2"/>
  <c r="D67" i="2" s="1"/>
  <c r="D101" i="2" s="1"/>
  <c r="A24" i="2"/>
  <c r="A68" i="2" s="1"/>
  <c r="B24" i="2"/>
  <c r="B68" i="2" s="1"/>
  <c r="B102" i="2" s="1"/>
  <c r="C24" i="2"/>
  <c r="C68" i="2" s="1"/>
  <c r="C102" i="2" s="1"/>
  <c r="D24" i="2"/>
  <c r="D68" i="2" s="1"/>
  <c r="D102" i="2" s="1"/>
  <c r="A25" i="2"/>
  <c r="A69" i="2" s="1"/>
  <c r="B25" i="2"/>
  <c r="B69" i="2" s="1"/>
  <c r="B103" i="2" s="1"/>
  <c r="C25" i="2"/>
  <c r="C69" i="2" s="1"/>
  <c r="C103" i="2" s="1"/>
  <c r="D25" i="2"/>
  <c r="D69" i="2" s="1"/>
  <c r="D103" i="2" s="1"/>
  <c r="A26" i="2"/>
  <c r="A70" i="2" s="1"/>
  <c r="B70" i="2"/>
  <c r="B104" i="2" s="1"/>
  <c r="C70" i="2"/>
  <c r="C104" i="2" s="1"/>
  <c r="D70" i="2"/>
  <c r="D104" i="2" s="1"/>
  <c r="B4" i="2"/>
  <c r="B48" i="2" s="1"/>
  <c r="C4" i="2"/>
  <c r="C48" i="2" s="1"/>
  <c r="C82" i="2" s="1"/>
  <c r="D4" i="2"/>
  <c r="D48" i="2" s="1"/>
  <c r="D82" i="2" s="1"/>
  <c r="P64" i="2" l="1"/>
  <c r="X64" i="2"/>
  <c r="I64" i="2"/>
  <c r="N64" i="2"/>
  <c r="Q64" i="2"/>
  <c r="J64" i="2"/>
  <c r="R64" i="2"/>
  <c r="S64" i="2"/>
  <c r="K64" i="2"/>
  <c r="L64" i="2"/>
  <c r="T64" i="2"/>
  <c r="M64" i="2"/>
  <c r="U64" i="2"/>
  <c r="F64" i="2"/>
  <c r="G64" i="2"/>
  <c r="O64" i="2"/>
  <c r="W64" i="2"/>
  <c r="H64" i="2"/>
  <c r="V64" i="2"/>
  <c r="F62" i="2"/>
  <c r="N62" i="2"/>
  <c r="V62" i="2"/>
  <c r="W62" i="2"/>
  <c r="G62" i="2"/>
  <c r="H62" i="2"/>
  <c r="P62" i="2"/>
  <c r="X62" i="2"/>
  <c r="I62" i="2"/>
  <c r="Q62" i="2"/>
  <c r="L62" i="2"/>
  <c r="J62" i="2"/>
  <c r="R62" i="2"/>
  <c r="K62" i="2"/>
  <c r="S62" i="2"/>
  <c r="T62" i="2"/>
  <c r="M62" i="2"/>
  <c r="U62" i="2"/>
  <c r="O62" i="2"/>
  <c r="L60" i="2"/>
  <c r="T60" i="2"/>
  <c r="M60" i="2"/>
  <c r="U60" i="2"/>
  <c r="R60" i="2"/>
  <c r="F60" i="2"/>
  <c r="N60" i="2"/>
  <c r="V60" i="2"/>
  <c r="W60" i="2"/>
  <c r="J60" i="2"/>
  <c r="G60" i="2"/>
  <c r="O60" i="2"/>
  <c r="H60" i="2"/>
  <c r="P60" i="2"/>
  <c r="X60" i="2"/>
  <c r="I60" i="2"/>
  <c r="Q60" i="2"/>
  <c r="K60" i="2"/>
  <c r="S60" i="2"/>
  <c r="J58" i="2"/>
  <c r="R58" i="2"/>
  <c r="K58" i="2"/>
  <c r="L58" i="2"/>
  <c r="T58" i="2"/>
  <c r="U58" i="2"/>
  <c r="M58" i="2"/>
  <c r="F58" i="2"/>
  <c r="N58" i="2"/>
  <c r="V58" i="2"/>
  <c r="H58" i="2"/>
  <c r="X58" i="2"/>
  <c r="G58" i="2"/>
  <c r="O58" i="2"/>
  <c r="W58" i="2"/>
  <c r="P58" i="2"/>
  <c r="I58" i="2"/>
  <c r="Q58" i="2"/>
  <c r="S58" i="2"/>
  <c r="H56" i="2"/>
  <c r="P56" i="2"/>
  <c r="X56" i="2"/>
  <c r="Q56" i="2"/>
  <c r="J56" i="2"/>
  <c r="R56" i="2"/>
  <c r="K56" i="2"/>
  <c r="S56" i="2"/>
  <c r="L56" i="2"/>
  <c r="T56" i="2"/>
  <c r="N56" i="2"/>
  <c r="M56" i="2"/>
  <c r="U56" i="2"/>
  <c r="F56" i="2"/>
  <c r="V56" i="2"/>
  <c r="G56" i="2"/>
  <c r="O56" i="2"/>
  <c r="W56" i="2"/>
  <c r="I56" i="2"/>
  <c r="F54" i="2"/>
  <c r="N54" i="2"/>
  <c r="V54" i="2"/>
  <c r="G54" i="2"/>
  <c r="O54" i="2"/>
  <c r="W54" i="2"/>
  <c r="H54" i="2"/>
  <c r="P54" i="2"/>
  <c r="X54" i="2"/>
  <c r="I54" i="2"/>
  <c r="Q54" i="2"/>
  <c r="J54" i="2"/>
  <c r="R54" i="2"/>
  <c r="T54" i="2"/>
  <c r="K54" i="2"/>
  <c r="S54" i="2"/>
  <c r="L54" i="2"/>
  <c r="M54" i="2"/>
  <c r="U54" i="2"/>
  <c r="L52" i="2"/>
  <c r="T52" i="2"/>
  <c r="M52" i="2"/>
  <c r="U52" i="2"/>
  <c r="F52" i="2"/>
  <c r="N52" i="2"/>
  <c r="V52" i="2"/>
  <c r="G52" i="2"/>
  <c r="O52" i="2"/>
  <c r="W52" i="2"/>
  <c r="H52" i="2"/>
  <c r="P52" i="2"/>
  <c r="X52" i="2"/>
  <c r="J52" i="2"/>
  <c r="I52" i="2"/>
  <c r="Q52" i="2"/>
  <c r="R52" i="2"/>
  <c r="K52" i="2"/>
  <c r="S52" i="2"/>
  <c r="J50" i="2"/>
  <c r="R50" i="2"/>
  <c r="K50" i="2"/>
  <c r="S50" i="2"/>
  <c r="L50" i="2"/>
  <c r="T50" i="2"/>
  <c r="U50" i="2"/>
  <c r="M50" i="2"/>
  <c r="F50" i="2"/>
  <c r="N50" i="2"/>
  <c r="V50" i="2"/>
  <c r="H50" i="2"/>
  <c r="P50" i="2"/>
  <c r="X50" i="2"/>
  <c r="G50" i="2"/>
  <c r="O50" i="2"/>
  <c r="W50" i="2"/>
  <c r="I50" i="2"/>
  <c r="Q50" i="2"/>
  <c r="B82" i="2"/>
  <c r="K63" i="2"/>
  <c r="S63" i="2"/>
  <c r="L63" i="2"/>
  <c r="Q63" i="2"/>
  <c r="M63" i="2"/>
  <c r="U63" i="2"/>
  <c r="F63" i="2"/>
  <c r="V63" i="2"/>
  <c r="N63" i="2"/>
  <c r="G63" i="2"/>
  <c r="O63" i="2"/>
  <c r="W63" i="2"/>
  <c r="X63" i="2"/>
  <c r="I63" i="2"/>
  <c r="H63" i="2"/>
  <c r="P63" i="2"/>
  <c r="J63" i="2"/>
  <c r="R63" i="2"/>
  <c r="T63" i="2"/>
  <c r="I61" i="2"/>
  <c r="Q61" i="2"/>
  <c r="R61" i="2"/>
  <c r="O61" i="2"/>
  <c r="K61" i="2"/>
  <c r="S61" i="2"/>
  <c r="T61" i="2"/>
  <c r="L61" i="2"/>
  <c r="M61" i="2"/>
  <c r="U61" i="2"/>
  <c r="G61" i="2"/>
  <c r="F61" i="2"/>
  <c r="N61" i="2"/>
  <c r="V61" i="2"/>
  <c r="H61" i="2"/>
  <c r="P61" i="2"/>
  <c r="X61" i="2"/>
  <c r="J61" i="2"/>
  <c r="W61" i="2"/>
  <c r="G59" i="2"/>
  <c r="O59" i="2"/>
  <c r="W59" i="2"/>
  <c r="H59" i="2"/>
  <c r="P59" i="2"/>
  <c r="I59" i="2"/>
  <c r="Q59" i="2"/>
  <c r="R59" i="2"/>
  <c r="J59" i="2"/>
  <c r="K59" i="2"/>
  <c r="S59" i="2"/>
  <c r="L59" i="2"/>
  <c r="T59" i="2"/>
  <c r="M59" i="2"/>
  <c r="U59" i="2"/>
  <c r="F59" i="2"/>
  <c r="N59" i="2"/>
  <c r="V59" i="2"/>
  <c r="X59" i="2"/>
  <c r="M57" i="2"/>
  <c r="U57" i="2"/>
  <c r="F57" i="2"/>
  <c r="V57" i="2"/>
  <c r="G57" i="2"/>
  <c r="O57" i="2"/>
  <c r="W57" i="2"/>
  <c r="H57" i="2"/>
  <c r="X57" i="2"/>
  <c r="P57" i="2"/>
  <c r="I57" i="2"/>
  <c r="Q57" i="2"/>
  <c r="K57" i="2"/>
  <c r="J57" i="2"/>
  <c r="R57" i="2"/>
  <c r="S57" i="2"/>
  <c r="L57" i="2"/>
  <c r="T57" i="2"/>
  <c r="N57" i="2"/>
  <c r="K55" i="2"/>
  <c r="S55" i="2"/>
  <c r="L55" i="2"/>
  <c r="T55" i="2"/>
  <c r="M55" i="2"/>
  <c r="U55" i="2"/>
  <c r="N55" i="2"/>
  <c r="F55" i="2"/>
  <c r="V55" i="2"/>
  <c r="G55" i="2"/>
  <c r="O55" i="2"/>
  <c r="W55" i="2"/>
  <c r="Q55" i="2"/>
  <c r="H55" i="2"/>
  <c r="P55" i="2"/>
  <c r="X55" i="2"/>
  <c r="I55" i="2"/>
  <c r="J55" i="2"/>
  <c r="R55" i="2"/>
  <c r="I53" i="2"/>
  <c r="Q53" i="2"/>
  <c r="R53" i="2"/>
  <c r="K53" i="2"/>
  <c r="S53" i="2"/>
  <c r="L53" i="2"/>
  <c r="T53" i="2"/>
  <c r="M53" i="2"/>
  <c r="U53" i="2"/>
  <c r="G53" i="2"/>
  <c r="W53" i="2"/>
  <c r="F53" i="2"/>
  <c r="N53" i="2"/>
  <c r="V53" i="2"/>
  <c r="O53" i="2"/>
  <c r="H53" i="2"/>
  <c r="P53" i="2"/>
  <c r="X53" i="2"/>
  <c r="J53" i="2"/>
  <c r="G51" i="2"/>
  <c r="O51" i="2"/>
  <c r="W51" i="2"/>
  <c r="H51" i="2"/>
  <c r="P51" i="2"/>
  <c r="X51" i="2"/>
  <c r="I51" i="2"/>
  <c r="Q51" i="2"/>
  <c r="J51" i="2"/>
  <c r="R51" i="2"/>
  <c r="K51" i="2"/>
  <c r="S51" i="2"/>
  <c r="U51" i="2"/>
  <c r="L51" i="2"/>
  <c r="T51" i="2"/>
  <c r="M51" i="2"/>
  <c r="F51" i="2"/>
  <c r="N51" i="2"/>
  <c r="V51" i="2"/>
  <c r="M49" i="2"/>
  <c r="U49" i="2"/>
  <c r="F49" i="2"/>
  <c r="N49" i="2"/>
  <c r="V49" i="2"/>
  <c r="G49" i="2"/>
  <c r="O49" i="2"/>
  <c r="W49" i="2"/>
  <c r="H49" i="2"/>
  <c r="P49" i="2"/>
  <c r="X49" i="2"/>
  <c r="I49" i="2"/>
  <c r="Q49" i="2"/>
  <c r="K49" i="2"/>
  <c r="J49" i="2"/>
  <c r="R49" i="2"/>
  <c r="S49" i="2"/>
  <c r="L49" i="2"/>
  <c r="T49" i="2"/>
  <c r="A104" i="2"/>
  <c r="A102" i="2"/>
  <c r="A100" i="2"/>
  <c r="A98" i="2"/>
  <c r="A96" i="2"/>
  <c r="A94" i="2"/>
  <c r="A92" i="2"/>
  <c r="A90" i="2"/>
  <c r="A88" i="2"/>
  <c r="A86" i="2"/>
  <c r="A84" i="2"/>
  <c r="A103" i="2"/>
  <c r="A101" i="2"/>
  <c r="A99" i="2"/>
  <c r="A97" i="2"/>
  <c r="A95" i="2"/>
  <c r="A93" i="2"/>
  <c r="A91" i="2"/>
  <c r="A89" i="2"/>
  <c r="A87" i="2"/>
  <c r="A85" i="2"/>
  <c r="A83" i="2"/>
  <c r="F142" i="2"/>
  <c r="F143" i="2" s="1"/>
  <c r="E142" i="2"/>
  <c r="E143" i="2" s="1"/>
  <c r="D142" i="2"/>
  <c r="D143" i="2" s="1"/>
  <c r="C142" i="2"/>
  <c r="C143" i="2" s="1"/>
  <c r="A4" i="2"/>
  <c r="A48" i="2" s="1"/>
  <c r="I48" i="2" s="1"/>
  <c r="C80" i="2" l="1"/>
  <c r="M48" i="2"/>
  <c r="X48" i="2"/>
  <c r="T48" i="2"/>
  <c r="P48" i="2"/>
  <c r="S48" i="2"/>
  <c r="H48" i="2"/>
  <c r="L48" i="2"/>
  <c r="W48" i="2"/>
  <c r="F48" i="2"/>
  <c r="K48" i="2"/>
  <c r="Q48" i="2"/>
  <c r="G48" i="2"/>
  <c r="R48" i="2"/>
  <c r="O48" i="2"/>
  <c r="N48" i="2"/>
  <c r="J48" i="2"/>
  <c r="V48" i="2"/>
  <c r="U48" i="2"/>
  <c r="A82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E38" i="1" l="1"/>
  <c r="C80" i="1" s="1"/>
  <c r="N38" i="1"/>
  <c r="V38" i="1"/>
  <c r="G38" i="1"/>
  <c r="O38" i="1"/>
  <c r="W38" i="1"/>
  <c r="H38" i="1"/>
  <c r="P38" i="1"/>
  <c r="X38" i="1"/>
  <c r="U38" i="1"/>
  <c r="I38" i="1"/>
  <c r="Q38" i="1"/>
  <c r="Y38" i="1"/>
  <c r="J38" i="1"/>
  <c r="R38" i="1"/>
  <c r="Z38" i="1"/>
  <c r="K38" i="1"/>
  <c r="S38" i="1"/>
  <c r="AA38" i="1"/>
  <c r="L38" i="1"/>
  <c r="T38" i="1"/>
  <c r="F38" i="1"/>
  <c r="M38" i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G65" i="1" l="1"/>
  <c r="O65" i="1"/>
  <c r="W65" i="1"/>
  <c r="V65" i="1"/>
  <c r="H65" i="1"/>
  <c r="P65" i="1"/>
  <c r="X65" i="1"/>
  <c r="I65" i="1"/>
  <c r="Q65" i="1"/>
  <c r="Y65" i="1"/>
  <c r="J65" i="1"/>
  <c r="R65" i="1"/>
  <c r="Z65" i="1"/>
  <c r="N65" i="1"/>
  <c r="K65" i="1"/>
  <c r="S65" i="1"/>
  <c r="AA65" i="1"/>
  <c r="L65" i="1"/>
  <c r="T65" i="1"/>
  <c r="F65" i="1"/>
  <c r="M65" i="1"/>
  <c r="U65" i="1"/>
  <c r="G86" i="2"/>
  <c r="F86" i="2"/>
  <c r="F82" i="2"/>
  <c r="F85" i="2"/>
  <c r="F93" i="2"/>
  <c r="F94" i="2"/>
  <c r="F92" i="2"/>
  <c r="F87" i="2"/>
  <c r="F95" i="2"/>
  <c r="F97" i="2"/>
  <c r="F88" i="2"/>
  <c r="F96" i="2"/>
  <c r="F89" i="2"/>
  <c r="F100" i="2"/>
  <c r="F90" i="2"/>
  <c r="F98" i="2"/>
  <c r="F91" i="2"/>
  <c r="F99" i="2"/>
  <c r="F98" i="1"/>
  <c r="N98" i="1"/>
  <c r="V98" i="1"/>
  <c r="H99" i="1"/>
  <c r="P99" i="1"/>
  <c r="X99" i="1"/>
  <c r="J100" i="1"/>
  <c r="R100" i="1"/>
  <c r="Z100" i="1"/>
  <c r="L99" i="1"/>
  <c r="F100" i="1"/>
  <c r="V100" i="1"/>
  <c r="M98" i="1"/>
  <c r="G98" i="1"/>
  <c r="O98" i="1"/>
  <c r="W98" i="1"/>
  <c r="I99" i="1"/>
  <c r="Q99" i="1"/>
  <c r="Y99" i="1"/>
  <c r="K100" i="1"/>
  <c r="S100" i="1"/>
  <c r="AA100" i="1"/>
  <c r="R98" i="1"/>
  <c r="T99" i="1"/>
  <c r="N100" i="1"/>
  <c r="H98" i="1"/>
  <c r="P98" i="1"/>
  <c r="X98" i="1"/>
  <c r="J99" i="1"/>
  <c r="R99" i="1"/>
  <c r="Z99" i="1"/>
  <c r="L100" i="1"/>
  <c r="T100" i="1"/>
  <c r="Z98" i="1"/>
  <c r="O99" i="1"/>
  <c r="Q100" i="1"/>
  <c r="I98" i="1"/>
  <c r="Q98" i="1"/>
  <c r="Y98" i="1"/>
  <c r="K99" i="1"/>
  <c r="S99" i="1"/>
  <c r="AA99" i="1"/>
  <c r="M100" i="1"/>
  <c r="U100" i="1"/>
  <c r="J98" i="1"/>
  <c r="U98" i="1"/>
  <c r="Y100" i="1"/>
  <c r="K98" i="1"/>
  <c r="S98" i="1"/>
  <c r="AA98" i="1"/>
  <c r="M99" i="1"/>
  <c r="U99" i="1"/>
  <c r="G100" i="1"/>
  <c r="O100" i="1"/>
  <c r="W100" i="1"/>
  <c r="L98" i="1"/>
  <c r="T98" i="1"/>
  <c r="F99" i="1"/>
  <c r="N99" i="1"/>
  <c r="V99" i="1"/>
  <c r="H100" i="1"/>
  <c r="P100" i="1"/>
  <c r="X100" i="1"/>
  <c r="G99" i="1"/>
  <c r="W99" i="1"/>
  <c r="I100" i="1"/>
  <c r="G97" i="1"/>
  <c r="O97" i="1"/>
  <c r="H97" i="1"/>
  <c r="P97" i="1"/>
  <c r="X97" i="1"/>
  <c r="I97" i="1"/>
  <c r="Q97" i="1"/>
  <c r="Y97" i="1"/>
  <c r="J97" i="1"/>
  <c r="R97" i="1"/>
  <c r="Z97" i="1"/>
  <c r="N97" i="1"/>
  <c r="K97" i="1"/>
  <c r="S97" i="1"/>
  <c r="AA97" i="1"/>
  <c r="U97" i="1"/>
  <c r="L97" i="1"/>
  <c r="T97" i="1"/>
  <c r="M97" i="1"/>
  <c r="V97" i="1"/>
  <c r="W97" i="1"/>
  <c r="F83" i="1"/>
  <c r="N83" i="1"/>
  <c r="V83" i="1"/>
  <c r="L84" i="1"/>
  <c r="T84" i="1"/>
  <c r="J85" i="1"/>
  <c r="R85" i="1"/>
  <c r="Z85" i="1"/>
  <c r="H86" i="1"/>
  <c r="P86" i="1"/>
  <c r="X86" i="1"/>
  <c r="F87" i="1"/>
  <c r="N87" i="1"/>
  <c r="V87" i="1"/>
  <c r="G83" i="1"/>
  <c r="O83" i="1"/>
  <c r="W83" i="1"/>
  <c r="M84" i="1"/>
  <c r="U84" i="1"/>
  <c r="K85" i="1"/>
  <c r="S85" i="1"/>
  <c r="AA85" i="1"/>
  <c r="I86" i="1"/>
  <c r="Q86" i="1"/>
  <c r="Y86" i="1"/>
  <c r="G87" i="1"/>
  <c r="O87" i="1"/>
  <c r="W87" i="1"/>
  <c r="M88" i="1"/>
  <c r="U88" i="1"/>
  <c r="K89" i="1"/>
  <c r="S89" i="1"/>
  <c r="AA89" i="1"/>
  <c r="I90" i="1"/>
  <c r="Q90" i="1"/>
  <c r="Y90" i="1"/>
  <c r="G91" i="1"/>
  <c r="O91" i="1"/>
  <c r="W91" i="1"/>
  <c r="M92" i="1"/>
  <c r="U92" i="1"/>
  <c r="K93" i="1"/>
  <c r="S93" i="1"/>
  <c r="AA93" i="1"/>
  <c r="I94" i="1"/>
  <c r="Q94" i="1"/>
  <c r="Y94" i="1"/>
  <c r="G95" i="1"/>
  <c r="O95" i="1"/>
  <c r="W95" i="1"/>
  <c r="M96" i="1"/>
  <c r="U96" i="1"/>
  <c r="Z83" i="1"/>
  <c r="X84" i="1"/>
  <c r="N85" i="1"/>
  <c r="H83" i="1"/>
  <c r="P83" i="1"/>
  <c r="X83" i="1"/>
  <c r="F84" i="1"/>
  <c r="N84" i="1"/>
  <c r="V84" i="1"/>
  <c r="L85" i="1"/>
  <c r="T85" i="1"/>
  <c r="J86" i="1"/>
  <c r="R86" i="1"/>
  <c r="Z86" i="1"/>
  <c r="H87" i="1"/>
  <c r="P87" i="1"/>
  <c r="X87" i="1"/>
  <c r="F88" i="1"/>
  <c r="N88" i="1"/>
  <c r="V88" i="1"/>
  <c r="L89" i="1"/>
  <c r="T89" i="1"/>
  <c r="J90" i="1"/>
  <c r="R90" i="1"/>
  <c r="Z90" i="1"/>
  <c r="H91" i="1"/>
  <c r="P91" i="1"/>
  <c r="X91" i="1"/>
  <c r="F92" i="1"/>
  <c r="N92" i="1"/>
  <c r="V92" i="1"/>
  <c r="L93" i="1"/>
  <c r="T93" i="1"/>
  <c r="J94" i="1"/>
  <c r="R94" i="1"/>
  <c r="Z94" i="1"/>
  <c r="H95" i="1"/>
  <c r="P95" i="1"/>
  <c r="X95" i="1"/>
  <c r="F96" i="1"/>
  <c r="N96" i="1"/>
  <c r="V96" i="1"/>
  <c r="R83" i="1"/>
  <c r="P84" i="1"/>
  <c r="F85" i="1"/>
  <c r="I83" i="1"/>
  <c r="Q83" i="1"/>
  <c r="Y83" i="1"/>
  <c r="G84" i="1"/>
  <c r="O84" i="1"/>
  <c r="W84" i="1"/>
  <c r="M85" i="1"/>
  <c r="U85" i="1"/>
  <c r="K86" i="1"/>
  <c r="S86" i="1"/>
  <c r="AA86" i="1"/>
  <c r="I87" i="1"/>
  <c r="Q87" i="1"/>
  <c r="Y87" i="1"/>
  <c r="G88" i="1"/>
  <c r="O88" i="1"/>
  <c r="W88" i="1"/>
  <c r="M89" i="1"/>
  <c r="U89" i="1"/>
  <c r="K90" i="1"/>
  <c r="S90" i="1"/>
  <c r="AA90" i="1"/>
  <c r="I91" i="1"/>
  <c r="Q91" i="1"/>
  <c r="Y91" i="1"/>
  <c r="G92" i="1"/>
  <c r="O92" i="1"/>
  <c r="W92" i="1"/>
  <c r="M93" i="1"/>
  <c r="U93" i="1"/>
  <c r="K94" i="1"/>
  <c r="S94" i="1"/>
  <c r="AA94" i="1"/>
  <c r="I95" i="1"/>
  <c r="Q95" i="1"/>
  <c r="Y95" i="1"/>
  <c r="G96" i="1"/>
  <c r="O96" i="1"/>
  <c r="W96" i="1"/>
  <c r="J83" i="1"/>
  <c r="H84" i="1"/>
  <c r="L83" i="1"/>
  <c r="T83" i="1"/>
  <c r="J84" i="1"/>
  <c r="R84" i="1"/>
  <c r="Z84" i="1"/>
  <c r="H85" i="1"/>
  <c r="P85" i="1"/>
  <c r="X85" i="1"/>
  <c r="F86" i="1"/>
  <c r="N86" i="1"/>
  <c r="V86" i="1"/>
  <c r="L87" i="1"/>
  <c r="T87" i="1"/>
  <c r="J88" i="1"/>
  <c r="R88" i="1"/>
  <c r="Z88" i="1"/>
  <c r="H89" i="1"/>
  <c r="P89" i="1"/>
  <c r="X89" i="1"/>
  <c r="F90" i="1"/>
  <c r="N90" i="1"/>
  <c r="V90" i="1"/>
  <c r="L91" i="1"/>
  <c r="T91" i="1"/>
  <c r="J92" i="1"/>
  <c r="R92" i="1"/>
  <c r="Z92" i="1"/>
  <c r="H93" i="1"/>
  <c r="P93" i="1"/>
  <c r="X93" i="1"/>
  <c r="F94" i="1"/>
  <c r="N94" i="1"/>
  <c r="V94" i="1"/>
  <c r="L95" i="1"/>
  <c r="T95" i="1"/>
  <c r="J96" i="1"/>
  <c r="R96" i="1"/>
  <c r="Z96" i="1"/>
  <c r="L88" i="1"/>
  <c r="R89" i="1"/>
  <c r="P90" i="1"/>
  <c r="N91" i="1"/>
  <c r="M83" i="1"/>
  <c r="U83" i="1"/>
  <c r="K84" i="1"/>
  <c r="S84" i="1"/>
  <c r="AA84" i="1"/>
  <c r="I85" i="1"/>
  <c r="Q85" i="1"/>
  <c r="Y85" i="1"/>
  <c r="G86" i="1"/>
  <c r="O86" i="1"/>
  <c r="W86" i="1"/>
  <c r="M87" i="1"/>
  <c r="U87" i="1"/>
  <c r="K88" i="1"/>
  <c r="S88" i="1"/>
  <c r="AA88" i="1"/>
  <c r="I89" i="1"/>
  <c r="Q89" i="1"/>
  <c r="Y89" i="1"/>
  <c r="G90" i="1"/>
  <c r="O90" i="1"/>
  <c r="W90" i="1"/>
  <c r="M91" i="1"/>
  <c r="U91" i="1"/>
  <c r="K92" i="1"/>
  <c r="S92" i="1"/>
  <c r="AA92" i="1"/>
  <c r="I93" i="1"/>
  <c r="Q93" i="1"/>
  <c r="Y93" i="1"/>
  <c r="G94" i="1"/>
  <c r="O94" i="1"/>
  <c r="W94" i="1"/>
  <c r="M95" i="1"/>
  <c r="U95" i="1"/>
  <c r="K96" i="1"/>
  <c r="S96" i="1"/>
  <c r="AA96" i="1"/>
  <c r="T88" i="1"/>
  <c r="J89" i="1"/>
  <c r="Z89" i="1"/>
  <c r="H90" i="1"/>
  <c r="X90" i="1"/>
  <c r="F91" i="1"/>
  <c r="V91" i="1"/>
  <c r="K83" i="1"/>
  <c r="G85" i="1"/>
  <c r="L86" i="1"/>
  <c r="J87" i="1"/>
  <c r="H88" i="1"/>
  <c r="F89" i="1"/>
  <c r="X92" i="1"/>
  <c r="J93" i="1"/>
  <c r="T94" i="1"/>
  <c r="F95" i="1"/>
  <c r="AA95" i="1"/>
  <c r="P96" i="1"/>
  <c r="G93" i="1"/>
  <c r="L96" i="1"/>
  <c r="S83" i="1"/>
  <c r="O85" i="1"/>
  <c r="M86" i="1"/>
  <c r="K87" i="1"/>
  <c r="I88" i="1"/>
  <c r="G89" i="1"/>
  <c r="Y92" i="1"/>
  <c r="N93" i="1"/>
  <c r="U94" i="1"/>
  <c r="J95" i="1"/>
  <c r="Q96" i="1"/>
  <c r="F97" i="1"/>
  <c r="T92" i="1"/>
  <c r="AA83" i="1"/>
  <c r="V85" i="1"/>
  <c r="T86" i="1"/>
  <c r="R87" i="1"/>
  <c r="P88" i="1"/>
  <c r="N89" i="1"/>
  <c r="L90" i="1"/>
  <c r="J91" i="1"/>
  <c r="H92" i="1"/>
  <c r="O93" i="1"/>
  <c r="X94" i="1"/>
  <c r="K95" i="1"/>
  <c r="T96" i="1"/>
  <c r="Z93" i="1"/>
  <c r="P94" i="1"/>
  <c r="W85" i="1"/>
  <c r="U86" i="1"/>
  <c r="S87" i="1"/>
  <c r="Q88" i="1"/>
  <c r="O89" i="1"/>
  <c r="M90" i="1"/>
  <c r="K91" i="1"/>
  <c r="I92" i="1"/>
  <c r="R93" i="1"/>
  <c r="N95" i="1"/>
  <c r="X96" i="1"/>
  <c r="Z95" i="1"/>
  <c r="I84" i="1"/>
  <c r="Z87" i="1"/>
  <c r="X88" i="1"/>
  <c r="V89" i="1"/>
  <c r="T90" i="1"/>
  <c r="R91" i="1"/>
  <c r="L92" i="1"/>
  <c r="V93" i="1"/>
  <c r="H94" i="1"/>
  <c r="R95" i="1"/>
  <c r="Y96" i="1"/>
  <c r="Q92" i="1"/>
  <c r="F93" i="1"/>
  <c r="V95" i="1"/>
  <c r="AA91" i="1"/>
  <c r="Q84" i="1"/>
  <c r="AA87" i="1"/>
  <c r="Y88" i="1"/>
  <c r="W89" i="1"/>
  <c r="U90" i="1"/>
  <c r="S91" i="1"/>
  <c r="P92" i="1"/>
  <c r="W93" i="1"/>
  <c r="L94" i="1"/>
  <c r="S95" i="1"/>
  <c r="H96" i="1"/>
  <c r="Y84" i="1"/>
  <c r="Z91" i="1"/>
  <c r="M94" i="1"/>
  <c r="I96" i="1"/>
  <c r="G82" i="1"/>
  <c r="O82" i="1"/>
  <c r="W82" i="1"/>
  <c r="H82" i="1"/>
  <c r="P82" i="1"/>
  <c r="X82" i="1"/>
  <c r="AA82" i="1"/>
  <c r="L82" i="1"/>
  <c r="I82" i="1"/>
  <c r="Q82" i="1"/>
  <c r="Y82" i="1"/>
  <c r="S82" i="1"/>
  <c r="J82" i="1"/>
  <c r="R82" i="1"/>
  <c r="Z82" i="1"/>
  <c r="K82" i="1"/>
  <c r="T82" i="1"/>
  <c r="M82" i="1"/>
  <c r="U82" i="1"/>
  <c r="N82" i="1"/>
  <c r="V82" i="1"/>
  <c r="F82" i="1"/>
  <c r="C99" i="1"/>
  <c r="B99" i="1"/>
  <c r="D48" i="1"/>
  <c r="D82" i="1"/>
  <c r="C48" i="1"/>
  <c r="C82" i="1"/>
  <c r="B48" i="1"/>
  <c r="B82" i="1"/>
  <c r="D99" i="1"/>
  <c r="F83" i="2"/>
  <c r="N83" i="2"/>
  <c r="V83" i="2"/>
  <c r="F84" i="2"/>
  <c r="N84" i="2"/>
  <c r="V84" i="2"/>
  <c r="N85" i="2"/>
  <c r="V85" i="2"/>
  <c r="N86" i="2"/>
  <c r="V86" i="2"/>
  <c r="N87" i="2"/>
  <c r="V87" i="2"/>
  <c r="N88" i="2"/>
  <c r="V88" i="2"/>
  <c r="N89" i="2"/>
  <c r="V89" i="2"/>
  <c r="N90" i="2"/>
  <c r="V90" i="2"/>
  <c r="N91" i="2"/>
  <c r="V91" i="2"/>
  <c r="N92" i="2"/>
  <c r="V92" i="2"/>
  <c r="N93" i="2"/>
  <c r="V93" i="2"/>
  <c r="N94" i="2"/>
  <c r="V94" i="2"/>
  <c r="N95" i="2"/>
  <c r="V95" i="2"/>
  <c r="N96" i="2"/>
  <c r="V96" i="2"/>
  <c r="N97" i="2"/>
  <c r="V97" i="2"/>
  <c r="N98" i="2"/>
  <c r="V98" i="2"/>
  <c r="N99" i="2"/>
  <c r="V99" i="2"/>
  <c r="N100" i="2"/>
  <c r="V100" i="2"/>
  <c r="W92" i="2"/>
  <c r="W94" i="2"/>
  <c r="O95" i="2"/>
  <c r="G96" i="2"/>
  <c r="W96" i="2"/>
  <c r="O97" i="2"/>
  <c r="W97" i="2"/>
  <c r="W98" i="2"/>
  <c r="G99" i="2"/>
  <c r="W99" i="2"/>
  <c r="O100" i="2"/>
  <c r="M92" i="2"/>
  <c r="U100" i="2"/>
  <c r="G83" i="2"/>
  <c r="O83" i="2"/>
  <c r="W83" i="2"/>
  <c r="G84" i="2"/>
  <c r="O84" i="2"/>
  <c r="W84" i="2"/>
  <c r="G85" i="2"/>
  <c r="O85" i="2"/>
  <c r="W85" i="2"/>
  <c r="O86" i="2"/>
  <c r="W86" i="2"/>
  <c r="G87" i="2"/>
  <c r="O87" i="2"/>
  <c r="W87" i="2"/>
  <c r="G88" i="2"/>
  <c r="O88" i="2"/>
  <c r="W88" i="2"/>
  <c r="G89" i="2"/>
  <c r="O89" i="2"/>
  <c r="W89" i="2"/>
  <c r="G90" i="2"/>
  <c r="O90" i="2"/>
  <c r="W90" i="2"/>
  <c r="G91" i="2"/>
  <c r="O91" i="2"/>
  <c r="W91" i="2"/>
  <c r="G92" i="2"/>
  <c r="O92" i="2"/>
  <c r="G93" i="2"/>
  <c r="O93" i="2"/>
  <c r="W93" i="2"/>
  <c r="G94" i="2"/>
  <c r="O94" i="2"/>
  <c r="G95" i="2"/>
  <c r="W95" i="2"/>
  <c r="O96" i="2"/>
  <c r="G97" i="2"/>
  <c r="G98" i="2"/>
  <c r="O98" i="2"/>
  <c r="O99" i="2"/>
  <c r="G100" i="2"/>
  <c r="W100" i="2"/>
  <c r="U98" i="2"/>
  <c r="H83" i="2"/>
  <c r="P83" i="2"/>
  <c r="X83" i="2"/>
  <c r="H84" i="2"/>
  <c r="P84" i="2"/>
  <c r="X84" i="2"/>
  <c r="H85" i="2"/>
  <c r="P85" i="2"/>
  <c r="X85" i="2"/>
  <c r="H86" i="2"/>
  <c r="P86" i="2"/>
  <c r="X86" i="2"/>
  <c r="H87" i="2"/>
  <c r="P87" i="2"/>
  <c r="X87" i="2"/>
  <c r="H88" i="2"/>
  <c r="P88" i="2"/>
  <c r="X88" i="2"/>
  <c r="H89" i="2"/>
  <c r="P89" i="2"/>
  <c r="X89" i="2"/>
  <c r="H90" i="2"/>
  <c r="P90" i="2"/>
  <c r="X90" i="2"/>
  <c r="H91" i="2"/>
  <c r="P91" i="2"/>
  <c r="X91" i="2"/>
  <c r="H92" i="2"/>
  <c r="P92" i="2"/>
  <c r="X92" i="2"/>
  <c r="H93" i="2"/>
  <c r="P93" i="2"/>
  <c r="X93" i="2"/>
  <c r="H94" i="2"/>
  <c r="P94" i="2"/>
  <c r="X94" i="2"/>
  <c r="H95" i="2"/>
  <c r="P95" i="2"/>
  <c r="X95" i="2"/>
  <c r="H96" i="2"/>
  <c r="P96" i="2"/>
  <c r="X96" i="2"/>
  <c r="H97" i="2"/>
  <c r="P97" i="2"/>
  <c r="X97" i="2"/>
  <c r="H98" i="2"/>
  <c r="P98" i="2"/>
  <c r="X98" i="2"/>
  <c r="H99" i="2"/>
  <c r="P99" i="2"/>
  <c r="X99" i="2"/>
  <c r="H100" i="2"/>
  <c r="P100" i="2"/>
  <c r="X100" i="2"/>
  <c r="K97" i="2"/>
  <c r="S98" i="2"/>
  <c r="M93" i="2"/>
  <c r="U95" i="2"/>
  <c r="U97" i="2"/>
  <c r="I83" i="2"/>
  <c r="Q83" i="2"/>
  <c r="I84" i="2"/>
  <c r="Q84" i="2"/>
  <c r="I85" i="2"/>
  <c r="Q85" i="2"/>
  <c r="I86" i="2"/>
  <c r="Q86" i="2"/>
  <c r="I87" i="2"/>
  <c r="Q87" i="2"/>
  <c r="I88" i="2"/>
  <c r="Q88" i="2"/>
  <c r="I89" i="2"/>
  <c r="Q89" i="2"/>
  <c r="I90" i="2"/>
  <c r="Q90" i="2"/>
  <c r="I91" i="2"/>
  <c r="Q91" i="2"/>
  <c r="I92" i="2"/>
  <c r="Q92" i="2"/>
  <c r="I93" i="2"/>
  <c r="Q93" i="2"/>
  <c r="I94" i="2"/>
  <c r="Q94" i="2"/>
  <c r="I95" i="2"/>
  <c r="Q95" i="2"/>
  <c r="I96" i="2"/>
  <c r="Q96" i="2"/>
  <c r="I97" i="2"/>
  <c r="Q97" i="2"/>
  <c r="I98" i="2"/>
  <c r="Q98" i="2"/>
  <c r="I99" i="2"/>
  <c r="Q99" i="2"/>
  <c r="I100" i="2"/>
  <c r="Q100" i="2"/>
  <c r="K93" i="2"/>
  <c r="S95" i="2"/>
  <c r="K98" i="2"/>
  <c r="K99" i="2"/>
  <c r="S100" i="2"/>
  <c r="U88" i="2"/>
  <c r="U91" i="2"/>
  <c r="U93" i="2"/>
  <c r="M95" i="2"/>
  <c r="M98" i="2"/>
  <c r="M100" i="2"/>
  <c r="J83" i="2"/>
  <c r="R83" i="2"/>
  <c r="J84" i="2"/>
  <c r="R84" i="2"/>
  <c r="J85" i="2"/>
  <c r="R85" i="2"/>
  <c r="J86" i="2"/>
  <c r="R86" i="2"/>
  <c r="J87" i="2"/>
  <c r="R87" i="2"/>
  <c r="J88" i="2"/>
  <c r="R88" i="2"/>
  <c r="J89" i="2"/>
  <c r="R89" i="2"/>
  <c r="J90" i="2"/>
  <c r="R90" i="2"/>
  <c r="J91" i="2"/>
  <c r="R91" i="2"/>
  <c r="J92" i="2"/>
  <c r="R92" i="2"/>
  <c r="J93" i="2"/>
  <c r="R93" i="2"/>
  <c r="J94" i="2"/>
  <c r="R94" i="2"/>
  <c r="J95" i="2"/>
  <c r="R95" i="2"/>
  <c r="J96" i="2"/>
  <c r="R96" i="2"/>
  <c r="J97" i="2"/>
  <c r="R97" i="2"/>
  <c r="J98" i="2"/>
  <c r="R98" i="2"/>
  <c r="J99" i="2"/>
  <c r="R99" i="2"/>
  <c r="J100" i="2"/>
  <c r="R100" i="2"/>
  <c r="S96" i="2"/>
  <c r="K100" i="2"/>
  <c r="M89" i="2"/>
  <c r="M94" i="2"/>
  <c r="M97" i="2"/>
  <c r="M99" i="2"/>
  <c r="K83" i="2"/>
  <c r="S83" i="2"/>
  <c r="K84" i="2"/>
  <c r="S84" i="2"/>
  <c r="K85" i="2"/>
  <c r="S85" i="2"/>
  <c r="K86" i="2"/>
  <c r="S86" i="2"/>
  <c r="K87" i="2"/>
  <c r="S87" i="2"/>
  <c r="K88" i="2"/>
  <c r="S88" i="2"/>
  <c r="K89" i="2"/>
  <c r="S89" i="2"/>
  <c r="K90" i="2"/>
  <c r="S90" i="2"/>
  <c r="K91" i="2"/>
  <c r="S91" i="2"/>
  <c r="K92" i="2"/>
  <c r="S92" i="2"/>
  <c r="S93" i="2"/>
  <c r="K94" i="2"/>
  <c r="S94" i="2"/>
  <c r="K95" i="2"/>
  <c r="K96" i="2"/>
  <c r="S97" i="2"/>
  <c r="S99" i="2"/>
  <c r="M90" i="2"/>
  <c r="U94" i="2"/>
  <c r="M96" i="2"/>
  <c r="L83" i="2"/>
  <c r="T83" i="2"/>
  <c r="L84" i="2"/>
  <c r="T84" i="2"/>
  <c r="L85" i="2"/>
  <c r="T85" i="2"/>
  <c r="L86" i="2"/>
  <c r="T86" i="2"/>
  <c r="L87" i="2"/>
  <c r="T87" i="2"/>
  <c r="L88" i="2"/>
  <c r="T88" i="2"/>
  <c r="L89" i="2"/>
  <c r="T89" i="2"/>
  <c r="L90" i="2"/>
  <c r="T90" i="2"/>
  <c r="L91" i="2"/>
  <c r="T91" i="2"/>
  <c r="L92" i="2"/>
  <c r="T92" i="2"/>
  <c r="L93" i="2"/>
  <c r="T93" i="2"/>
  <c r="L94" i="2"/>
  <c r="T94" i="2"/>
  <c r="L95" i="2"/>
  <c r="T95" i="2"/>
  <c r="L96" i="2"/>
  <c r="T96" i="2"/>
  <c r="L97" i="2"/>
  <c r="T97" i="2"/>
  <c r="L98" i="2"/>
  <c r="T98" i="2"/>
  <c r="L99" i="2"/>
  <c r="T99" i="2"/>
  <c r="L100" i="2"/>
  <c r="T100" i="2"/>
  <c r="M83" i="2"/>
  <c r="U83" i="2"/>
  <c r="M84" i="2"/>
  <c r="U84" i="2"/>
  <c r="M85" i="2"/>
  <c r="U85" i="2"/>
  <c r="M86" i="2"/>
  <c r="U86" i="2"/>
  <c r="M87" i="2"/>
  <c r="U87" i="2"/>
  <c r="M88" i="2"/>
  <c r="U89" i="2"/>
  <c r="U90" i="2"/>
  <c r="M91" i="2"/>
  <c r="U92" i="2"/>
  <c r="U96" i="2"/>
  <c r="U99" i="2"/>
  <c r="H82" i="2"/>
  <c r="P82" i="2"/>
  <c r="X82" i="2"/>
  <c r="I82" i="2"/>
  <c r="Q82" i="2"/>
  <c r="W82" i="2"/>
  <c r="J82" i="2"/>
  <c r="R82" i="2"/>
  <c r="K82" i="2"/>
  <c r="S82" i="2"/>
  <c r="G82" i="2"/>
  <c r="L82" i="2"/>
  <c r="T82" i="2"/>
  <c r="V82" i="2"/>
  <c r="O82" i="2"/>
  <c r="M82" i="2"/>
  <c r="U82" i="2"/>
  <c r="N82" i="2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B88" i="1"/>
  <c r="C55" i="1"/>
  <c r="C89" i="1"/>
  <c r="D52" i="1"/>
  <c r="D86" i="1"/>
  <c r="B50" i="1"/>
  <c r="F50" i="1" s="1"/>
  <c r="B84" i="1"/>
  <c r="C64" i="1"/>
  <c r="C98" i="1"/>
  <c r="D61" i="1"/>
  <c r="D95" i="1"/>
  <c r="B59" i="1"/>
  <c r="B93" i="1"/>
  <c r="D49" i="1"/>
  <c r="D83" i="1"/>
  <c r="B64" i="1"/>
  <c r="B98" i="1"/>
  <c r="C61" i="1"/>
  <c r="C95" i="1"/>
  <c r="M64" i="1" l="1"/>
  <c r="K63" i="1"/>
  <c r="R63" i="1"/>
  <c r="H63" i="1"/>
  <c r="U63" i="1"/>
  <c r="J64" i="1"/>
  <c r="W64" i="1"/>
  <c r="J63" i="1"/>
  <c r="W63" i="1"/>
  <c r="M63" i="1"/>
  <c r="T64" i="1"/>
  <c r="O64" i="1"/>
  <c r="AA63" i="1"/>
  <c r="O63" i="1"/>
  <c r="T63" i="1"/>
  <c r="L64" i="1"/>
  <c r="Y64" i="1"/>
  <c r="G64" i="1"/>
  <c r="Y63" i="1"/>
  <c r="G63" i="1"/>
  <c r="L63" i="1"/>
  <c r="AA64" i="1"/>
  <c r="Q64" i="1"/>
  <c r="V64" i="1"/>
  <c r="L48" i="1"/>
  <c r="Q63" i="1"/>
  <c r="V63" i="1"/>
  <c r="S64" i="1"/>
  <c r="I64" i="1"/>
  <c r="N64" i="1"/>
  <c r="I63" i="1"/>
  <c r="N63" i="1"/>
  <c r="K64" i="1"/>
  <c r="X64" i="1"/>
  <c r="F64" i="1"/>
  <c r="X63" i="1"/>
  <c r="S63" i="1"/>
  <c r="Z64" i="1"/>
  <c r="P64" i="1"/>
  <c r="U64" i="1"/>
  <c r="Z63" i="1"/>
  <c r="P63" i="1"/>
  <c r="R64" i="1"/>
  <c r="H64" i="1"/>
  <c r="Q117" i="2"/>
  <c r="Q118" i="2"/>
  <c r="W117" i="2"/>
  <c r="W118" i="2"/>
  <c r="L117" i="2"/>
  <c r="L118" i="2"/>
  <c r="X117" i="2"/>
  <c r="X118" i="2"/>
  <c r="N118" i="2"/>
  <c r="N117" i="2"/>
  <c r="S117" i="2"/>
  <c r="S118" i="2"/>
  <c r="P117" i="2"/>
  <c r="P118" i="2"/>
  <c r="V118" i="2"/>
  <c r="V117" i="2"/>
  <c r="I117" i="2"/>
  <c r="I118" i="2"/>
  <c r="K117" i="2"/>
  <c r="K118" i="2"/>
  <c r="T117" i="2"/>
  <c r="T118" i="2"/>
  <c r="G117" i="2"/>
  <c r="G118" i="2"/>
  <c r="U118" i="2"/>
  <c r="U117" i="2"/>
  <c r="H117" i="2"/>
  <c r="H118" i="2"/>
  <c r="M118" i="2"/>
  <c r="M117" i="2"/>
  <c r="R118" i="2"/>
  <c r="R117" i="2"/>
  <c r="O117" i="2"/>
  <c r="O118" i="2"/>
  <c r="J118" i="2"/>
  <c r="J117" i="2"/>
  <c r="F118" i="2"/>
  <c r="F117" i="2"/>
  <c r="U116" i="2"/>
  <c r="J116" i="2"/>
  <c r="O116" i="2"/>
  <c r="S116" i="2"/>
  <c r="V116" i="2"/>
  <c r="L116" i="2"/>
  <c r="P116" i="2"/>
  <c r="K116" i="2"/>
  <c r="N116" i="2"/>
  <c r="T116" i="2"/>
  <c r="R116" i="2"/>
  <c r="I116" i="2"/>
  <c r="H116" i="2"/>
  <c r="M116" i="2"/>
  <c r="F116" i="2"/>
  <c r="W116" i="2"/>
  <c r="G116" i="2"/>
  <c r="Q116" i="2"/>
  <c r="X116" i="2"/>
  <c r="J48" i="1"/>
  <c r="G48" i="1"/>
  <c r="I48" i="1"/>
  <c r="Y48" i="1"/>
  <c r="U48" i="1"/>
  <c r="X48" i="1"/>
  <c r="V48" i="1"/>
  <c r="AA48" i="1"/>
  <c r="P48" i="1"/>
  <c r="N48" i="1"/>
  <c r="S48" i="1"/>
  <c r="H48" i="1"/>
  <c r="M48" i="1"/>
  <c r="K48" i="1"/>
  <c r="Q48" i="1"/>
  <c r="F48" i="1"/>
  <c r="Z48" i="1"/>
  <c r="W48" i="1"/>
  <c r="T48" i="1"/>
  <c r="R48" i="1"/>
  <c r="O48" i="1"/>
  <c r="F52" i="1"/>
  <c r="K59" i="1"/>
  <c r="V56" i="1"/>
  <c r="W62" i="1"/>
  <c r="O51" i="1"/>
  <c r="N55" i="1"/>
  <c r="H57" i="1"/>
  <c r="H60" i="1"/>
  <c r="F58" i="1"/>
  <c r="X49" i="1"/>
  <c r="H58" i="1"/>
  <c r="R53" i="1"/>
  <c r="L61" i="1"/>
  <c r="K54" i="1"/>
  <c r="J60" i="1"/>
  <c r="Z50" i="1"/>
  <c r="Y58" i="1"/>
  <c r="T60" i="1"/>
  <c r="S58" i="1"/>
  <c r="L57" i="1"/>
  <c r="M49" i="1"/>
  <c r="M57" i="1"/>
  <c r="W57" i="1"/>
  <c r="W50" i="1"/>
  <c r="L50" i="1"/>
  <c r="N54" i="1"/>
  <c r="M53" i="1"/>
  <c r="G49" i="1"/>
  <c r="H52" i="1"/>
  <c r="Y55" i="1"/>
  <c r="J50" i="1"/>
  <c r="X61" i="1"/>
  <c r="Y52" i="1"/>
  <c r="O53" i="1"/>
  <c r="X58" i="1"/>
  <c r="N58" i="1"/>
  <c r="AA58" i="1"/>
  <c r="J61" i="1"/>
  <c r="Y61" i="1"/>
  <c r="Q61" i="1"/>
  <c r="V55" i="1"/>
  <c r="S55" i="1"/>
  <c r="Q55" i="1"/>
  <c r="L52" i="1"/>
  <c r="J52" i="1"/>
  <c r="AA51" i="1"/>
  <c r="I51" i="1"/>
  <c r="G51" i="1"/>
  <c r="M62" i="1"/>
  <c r="Y62" i="1"/>
  <c r="O62" i="1"/>
  <c r="K49" i="1"/>
  <c r="I49" i="1"/>
  <c r="Z53" i="1"/>
  <c r="W53" i="1"/>
  <c r="I53" i="1"/>
  <c r="R59" i="1"/>
  <c r="H59" i="1"/>
  <c r="U59" i="1"/>
  <c r="V60" i="1"/>
  <c r="R60" i="1"/>
  <c r="Z56" i="1"/>
  <c r="X56" i="1"/>
  <c r="N56" i="1"/>
  <c r="T57" i="1"/>
  <c r="J57" i="1"/>
  <c r="F57" i="1"/>
  <c r="I50" i="1"/>
  <c r="T50" i="1"/>
  <c r="R50" i="1"/>
  <c r="S54" i="1"/>
  <c r="X54" i="1"/>
  <c r="I55" i="1"/>
  <c r="V51" i="1"/>
  <c r="T53" i="1"/>
  <c r="F59" i="1"/>
  <c r="U56" i="1"/>
  <c r="P54" i="1"/>
  <c r="Q58" i="1"/>
  <c r="U58" i="1"/>
  <c r="K58" i="1"/>
  <c r="P61" i="1"/>
  <c r="N61" i="1"/>
  <c r="S61" i="1"/>
  <c r="U55" i="1"/>
  <c r="F55" i="1"/>
  <c r="W52" i="1"/>
  <c r="AA52" i="1"/>
  <c r="Q52" i="1"/>
  <c r="L51" i="1"/>
  <c r="X51" i="1"/>
  <c r="N51" i="1"/>
  <c r="AA62" i="1"/>
  <c r="I62" i="1"/>
  <c r="V62" i="1"/>
  <c r="V49" i="1"/>
  <c r="Z49" i="1"/>
  <c r="P49" i="1"/>
  <c r="J53" i="1"/>
  <c r="G53" i="1"/>
  <c r="L53" i="1"/>
  <c r="Y59" i="1"/>
  <c r="W59" i="1"/>
  <c r="N60" i="1"/>
  <c r="L60" i="1"/>
  <c r="Y60" i="1"/>
  <c r="AA56" i="1"/>
  <c r="H56" i="1"/>
  <c r="M56" i="1"/>
  <c r="U57" i="1"/>
  <c r="Y57" i="1"/>
  <c r="O57" i="1"/>
  <c r="O50" i="1"/>
  <c r="T54" i="1"/>
  <c r="Z54" i="1"/>
  <c r="H54" i="1"/>
  <c r="Q62" i="1"/>
  <c r="I58" i="1"/>
  <c r="M58" i="1"/>
  <c r="Z58" i="1"/>
  <c r="H61" i="1"/>
  <c r="I61" i="1"/>
  <c r="K61" i="1"/>
  <c r="M55" i="1"/>
  <c r="Z55" i="1"/>
  <c r="O52" i="1"/>
  <c r="S52" i="1"/>
  <c r="I52" i="1"/>
  <c r="Z51" i="1"/>
  <c r="P51" i="1"/>
  <c r="K51" i="1"/>
  <c r="S62" i="1"/>
  <c r="X62" i="1"/>
  <c r="N62" i="1"/>
  <c r="N49" i="1"/>
  <c r="R49" i="1"/>
  <c r="H49" i="1"/>
  <c r="X53" i="1"/>
  <c r="Y53" i="1"/>
  <c r="AA53" i="1"/>
  <c r="Q59" i="1"/>
  <c r="O59" i="1"/>
  <c r="W60" i="1"/>
  <c r="F60" i="1"/>
  <c r="Q60" i="1"/>
  <c r="S56" i="1"/>
  <c r="J56" i="1"/>
  <c r="R56" i="1"/>
  <c r="AA57" i="1"/>
  <c r="Q57" i="1"/>
  <c r="G57" i="1"/>
  <c r="G50" i="1"/>
  <c r="AA50" i="1"/>
  <c r="U54" i="1"/>
  <c r="R54" i="1"/>
  <c r="W54" i="1"/>
  <c r="V61" i="1"/>
  <c r="G62" i="1"/>
  <c r="W58" i="1"/>
  <c r="T58" i="1"/>
  <c r="R58" i="1"/>
  <c r="F61" i="1"/>
  <c r="U61" i="1"/>
  <c r="W55" i="1"/>
  <c r="O55" i="1"/>
  <c r="R55" i="1"/>
  <c r="G52" i="1"/>
  <c r="K52" i="1"/>
  <c r="N52" i="1"/>
  <c r="R51" i="1"/>
  <c r="H51" i="1"/>
  <c r="U51" i="1"/>
  <c r="K62" i="1"/>
  <c r="P62" i="1"/>
  <c r="T49" i="1"/>
  <c r="J49" i="1"/>
  <c r="F49" i="1"/>
  <c r="P53" i="1"/>
  <c r="V53" i="1"/>
  <c r="S53" i="1"/>
  <c r="T59" i="1"/>
  <c r="I59" i="1"/>
  <c r="G59" i="1"/>
  <c r="O60" i="1"/>
  <c r="AA60" i="1"/>
  <c r="I60" i="1"/>
  <c r="K56" i="1"/>
  <c r="W56" i="1"/>
  <c r="T56" i="1"/>
  <c r="S57" i="1"/>
  <c r="I57" i="1"/>
  <c r="X50" i="1"/>
  <c r="V50" i="1"/>
  <c r="S50" i="1"/>
  <c r="M54" i="1"/>
  <c r="J54" i="1"/>
  <c r="O54" i="1"/>
  <c r="AA61" i="1"/>
  <c r="S51" i="1"/>
  <c r="J59" i="1"/>
  <c r="F56" i="1"/>
  <c r="O58" i="1"/>
  <c r="L58" i="1"/>
  <c r="J58" i="1"/>
  <c r="W61" i="1"/>
  <c r="M61" i="1"/>
  <c r="X55" i="1"/>
  <c r="T55" i="1"/>
  <c r="J55" i="1"/>
  <c r="U52" i="1"/>
  <c r="V52" i="1"/>
  <c r="X52" i="1"/>
  <c r="J51" i="1"/>
  <c r="F51" i="1"/>
  <c r="M51" i="1"/>
  <c r="Z62" i="1"/>
  <c r="H62" i="1"/>
  <c r="F63" i="1"/>
  <c r="L49" i="1"/>
  <c r="U49" i="1"/>
  <c r="W49" i="1"/>
  <c r="H53" i="1"/>
  <c r="N53" i="1"/>
  <c r="K53" i="1"/>
  <c r="L59" i="1"/>
  <c r="AA59" i="1"/>
  <c r="V59" i="1"/>
  <c r="G60" i="1"/>
  <c r="S60" i="1"/>
  <c r="X60" i="1"/>
  <c r="Y56" i="1"/>
  <c r="O56" i="1"/>
  <c r="L56" i="1"/>
  <c r="K57" i="1"/>
  <c r="X57" i="1"/>
  <c r="P50" i="1"/>
  <c r="N50" i="1"/>
  <c r="K50" i="1"/>
  <c r="L54" i="1"/>
  <c r="Y54" i="1"/>
  <c r="G54" i="1"/>
  <c r="K55" i="1"/>
  <c r="T51" i="1"/>
  <c r="M59" i="1"/>
  <c r="G58" i="1"/>
  <c r="P58" i="1"/>
  <c r="Z61" i="1"/>
  <c r="O61" i="1"/>
  <c r="T61" i="1"/>
  <c r="P55" i="1"/>
  <c r="L55" i="1"/>
  <c r="G55" i="1"/>
  <c r="M52" i="1"/>
  <c r="Z52" i="1"/>
  <c r="P52" i="1"/>
  <c r="Y51" i="1"/>
  <c r="W51" i="1"/>
  <c r="T62" i="1"/>
  <c r="R62" i="1"/>
  <c r="L62" i="1"/>
  <c r="AA49" i="1"/>
  <c r="Y49" i="1"/>
  <c r="O49" i="1"/>
  <c r="Q53" i="1"/>
  <c r="U53" i="1"/>
  <c r="S59" i="1"/>
  <c r="X59" i="1"/>
  <c r="N59" i="1"/>
  <c r="U60" i="1"/>
  <c r="K60" i="1"/>
  <c r="P60" i="1"/>
  <c r="Q56" i="1"/>
  <c r="G56" i="1"/>
  <c r="V57" i="1"/>
  <c r="Z57" i="1"/>
  <c r="P57" i="1"/>
  <c r="Y50" i="1"/>
  <c r="U50" i="1"/>
  <c r="H50" i="1"/>
  <c r="F54" i="1"/>
  <c r="Q54" i="1"/>
  <c r="V54" i="1"/>
  <c r="F62" i="1"/>
  <c r="P56" i="1"/>
  <c r="V58" i="1"/>
  <c r="R61" i="1"/>
  <c r="G61" i="1"/>
  <c r="H55" i="1"/>
  <c r="AA55" i="1"/>
  <c r="T52" i="1"/>
  <c r="R52" i="1"/>
  <c r="Q51" i="1"/>
  <c r="U62" i="1"/>
  <c r="J62" i="1"/>
  <c r="S49" i="1"/>
  <c r="Q49" i="1"/>
  <c r="F53" i="1"/>
  <c r="Z59" i="1"/>
  <c r="P59" i="1"/>
  <c r="M60" i="1"/>
  <c r="Z60" i="1"/>
  <c r="I56" i="1"/>
  <c r="N57" i="1"/>
  <c r="R57" i="1"/>
  <c r="Q50" i="1"/>
  <c r="M50" i="1"/>
  <c r="AA54" i="1"/>
  <c r="I54" i="1"/>
  <c r="Y119" i="1" l="1"/>
  <c r="Y118" i="1"/>
  <c r="N118" i="1"/>
  <c r="N119" i="1"/>
  <c r="R119" i="1"/>
  <c r="R118" i="1"/>
  <c r="Z117" i="1"/>
  <c r="Z116" i="1"/>
  <c r="P116" i="1"/>
  <c r="P117" i="1"/>
  <c r="P119" i="1"/>
  <c r="P118" i="1"/>
  <c r="S117" i="1"/>
  <c r="S116" i="1"/>
  <c r="AA117" i="1"/>
  <c r="AA116" i="1"/>
  <c r="L117" i="1"/>
  <c r="L116" i="1"/>
  <c r="T118" i="1"/>
  <c r="T119" i="1"/>
  <c r="M117" i="1"/>
  <c r="M116" i="1"/>
  <c r="V117" i="1"/>
  <c r="V116" i="1"/>
  <c r="Y116" i="1"/>
  <c r="Y117" i="1"/>
  <c r="G116" i="1"/>
  <c r="G117" i="1"/>
  <c r="I119" i="1"/>
  <c r="I118" i="1"/>
  <c r="R117" i="1"/>
  <c r="R116" i="1"/>
  <c r="M118" i="1"/>
  <c r="M119" i="1"/>
  <c r="T117" i="1"/>
  <c r="T116" i="1"/>
  <c r="F116" i="1"/>
  <c r="F117" i="1"/>
  <c r="U117" i="1"/>
  <c r="U116" i="1"/>
  <c r="V118" i="1"/>
  <c r="V119" i="1"/>
  <c r="AA119" i="1"/>
  <c r="AA118" i="1"/>
  <c r="F119" i="1"/>
  <c r="F118" i="1"/>
  <c r="O116" i="1"/>
  <c r="O117" i="1"/>
  <c r="J117" i="1"/>
  <c r="J116" i="1"/>
  <c r="Q116" i="1"/>
  <c r="Q117" i="1"/>
  <c r="K117" i="1"/>
  <c r="K116" i="1"/>
  <c r="X119" i="1"/>
  <c r="X118" i="1"/>
  <c r="G119" i="1"/>
  <c r="G118" i="1"/>
  <c r="O119" i="1"/>
  <c r="O118" i="1"/>
  <c r="L118" i="1"/>
  <c r="L119" i="1"/>
  <c r="S119" i="1"/>
  <c r="S118" i="1"/>
  <c r="X116" i="1"/>
  <c r="X117" i="1"/>
  <c r="Q119" i="1"/>
  <c r="Q118" i="1"/>
  <c r="H119" i="1"/>
  <c r="H118" i="1"/>
  <c r="N117" i="1"/>
  <c r="N116" i="1"/>
  <c r="I116" i="1"/>
  <c r="I117" i="1"/>
  <c r="W118" i="1"/>
  <c r="W119" i="1"/>
  <c r="Z119" i="1"/>
  <c r="Z118" i="1"/>
  <c r="U118" i="1"/>
  <c r="U119" i="1"/>
  <c r="K119" i="1"/>
  <c r="K118" i="1"/>
  <c r="H116" i="1"/>
  <c r="H117" i="1"/>
  <c r="W116" i="1"/>
  <c r="W117" i="1"/>
  <c r="J119" i="1"/>
  <c r="J118" i="1"/>
  <c r="O120" i="1"/>
  <c r="F120" i="2"/>
  <c r="F119" i="2"/>
  <c r="M120" i="2"/>
  <c r="S120" i="2"/>
  <c r="V120" i="2"/>
  <c r="J120" i="2"/>
  <c r="U120" i="2"/>
  <c r="H120" i="2"/>
  <c r="O120" i="2"/>
  <c r="R120" i="2"/>
  <c r="L120" i="2"/>
  <c r="W120" i="2"/>
  <c r="P120" i="2"/>
  <c r="N120" i="2"/>
  <c r="K120" i="2"/>
  <c r="I120" i="2"/>
  <c r="G120" i="2"/>
  <c r="Q120" i="2"/>
  <c r="T120" i="2"/>
  <c r="X120" i="2"/>
  <c r="T119" i="2"/>
  <c r="X119" i="2"/>
  <c r="Q119" i="2"/>
  <c r="L119" i="2"/>
  <c r="W119" i="2"/>
  <c r="K119" i="2"/>
  <c r="S119" i="2"/>
  <c r="V119" i="2"/>
  <c r="J119" i="2"/>
  <c r="U119" i="2"/>
  <c r="H119" i="2"/>
  <c r="O119" i="2"/>
  <c r="R119" i="2"/>
  <c r="P119" i="2"/>
  <c r="N119" i="2"/>
  <c r="I119" i="2"/>
  <c r="G119" i="2"/>
  <c r="M119" i="2"/>
  <c r="V120" i="1" l="1"/>
  <c r="P120" i="1"/>
  <c r="T121" i="1"/>
  <c r="R120" i="1"/>
  <c r="I120" i="1"/>
  <c r="N121" i="1"/>
  <c r="Y120" i="1"/>
  <c r="Z121" i="1"/>
  <c r="H120" i="1"/>
  <c r="L121" i="1"/>
  <c r="O121" i="1"/>
  <c r="J120" i="1"/>
  <c r="W120" i="1"/>
  <c r="H121" i="1"/>
  <c r="W121" i="1"/>
  <c r="X121" i="1"/>
  <c r="AA121" i="1"/>
  <c r="U121" i="1"/>
  <c r="S121" i="1"/>
  <c r="K121" i="1"/>
  <c r="G120" i="1"/>
  <c r="Z120" i="1"/>
  <c r="M121" i="1"/>
  <c r="U120" i="1"/>
  <c r="F120" i="1"/>
  <c r="M120" i="1"/>
  <c r="Y121" i="1"/>
  <c r="Q121" i="1"/>
  <c r="L120" i="1"/>
  <c r="Q120" i="1"/>
  <c r="K120" i="1"/>
  <c r="J121" i="1"/>
  <c r="X120" i="1"/>
  <c r="T120" i="1"/>
  <c r="V121" i="1"/>
  <c r="G121" i="1"/>
  <c r="P121" i="1"/>
  <c r="R121" i="1"/>
  <c r="F121" i="1"/>
  <c r="N120" i="1"/>
  <c r="AA120" i="1"/>
  <c r="I121" i="1"/>
  <c r="S120" i="1"/>
  <c r="G123" i="1" l="1"/>
  <c r="G1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<sst xmlns="http://schemas.openxmlformats.org/spreadsheetml/2006/main" count="623" uniqueCount="282">
  <si>
    <t>*Se[m]</t>
  </si>
  <si>
    <t>*Ga</t>
  </si>
  <si>
    <t>Ar</t>
  </si>
  <si>
    <t>(l)Ge</t>
  </si>
  <si>
    <t>(l)GeSe</t>
  </si>
  <si>
    <t>(l)Ga</t>
  </si>
  <si>
    <t>Vapor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</si>
  <si>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</si>
  <si>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</si>
  <si>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</si>
  <si>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</si>
  <si>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</si>
  <si>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</si>
  <si>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</si>
  <si>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</si>
  <si>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</si>
  <si>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</si>
  <si>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</si>
  <si>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</si>
  <si>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</si>
  <si>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</si>
  <si>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</si>
  <si>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*Ge[c]</t>
  </si>
  <si>
    <t>*Ge[l]</t>
  </si>
  <si>
    <t>(l)Ge[l]</t>
  </si>
  <si>
    <t>(l)Ga[l]</t>
  </si>
  <si>
    <t>(l)Se[l]</t>
  </si>
  <si>
    <t>Solution #1</t>
  </si>
  <si>
    <t>Se7</t>
  </si>
  <si>
    <t>Se4</t>
  </si>
  <si>
    <t>Se5</t>
  </si>
  <si>
    <t>Se6</t>
  </si>
  <si>
    <t>Se8</t>
  </si>
  <si>
    <t>Se3</t>
  </si>
  <si>
    <t>Ge2</t>
  </si>
  <si>
    <t>Se2</t>
  </si>
  <si>
    <t>Ga2Se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</si>
  <si>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</si>
  <si>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</si>
  <si>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</si>
  <si>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</si>
  <si>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</si>
  <si>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</si>
  <si>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(l)Se[r]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</si>
  <si>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</si>
  <si>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</si>
  <si>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</si>
  <si>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</si>
  <si>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</si>
  <si>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</si>
  <si>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</si>
  <si>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</si>
  <si>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</si>
  <si>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</si>
  <si>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</si>
  <si>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</si>
  <si>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</si>
  <si>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</si>
  <si>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</si>
  <si>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</si>
  <si>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Ряд температур</t>
  </si>
  <si>
    <t>От куда:</t>
  </si>
  <si>
    <t>(l)Se[m]</t>
  </si>
  <si>
    <t>(l)Se[a]</t>
  </si>
  <si>
    <t>(l)GeSe2</t>
  </si>
  <si>
    <t>Температура</t>
  </si>
  <si>
    <t>Раствор + газовая без Ar</t>
  </si>
  <si>
    <t xml:space="preserve"> </t>
  </si>
  <si>
    <t>*GeSe</t>
  </si>
  <si>
    <t>H(Ar)</t>
  </si>
  <si>
    <t>H(Ga)</t>
  </si>
  <si>
    <t>H(Ge)</t>
  </si>
  <si>
    <t>H(Se)</t>
  </si>
  <si>
    <t>(l)Ge[c]</t>
  </si>
  <si>
    <t>Ga2Se3</t>
  </si>
  <si>
    <t>0,0000E+00</t>
  </si>
  <si>
    <t>2,0000E-01</t>
  </si>
  <si>
    <t>-1,907E+01</t>
  </si>
  <si>
    <t>-1,903E+01</t>
  </si>
  <si>
    <t>-1,917E+01</t>
  </si>
  <si>
    <t>-1,931E+01</t>
  </si>
  <si>
    <t>4,8000E-01</t>
  </si>
  <si>
    <t>-1,957E+01</t>
  </si>
  <si>
    <t>6,0000E-02</t>
  </si>
  <si>
    <t>-1,982E+01</t>
  </si>
  <si>
    <t>-2,005E+01</t>
  </si>
  <si>
    <t>-2,011E+01</t>
  </si>
  <si>
    <t>-2,026E+01</t>
  </si>
  <si>
    <t>-2,046E+01</t>
  </si>
  <si>
    <t>-2,065E+01</t>
  </si>
  <si>
    <t xml:space="preserve">Раствор 1 + газовая без Ar: </t>
  </si>
  <si>
    <t xml:space="preserve">Раствор 1 + газовая: </t>
  </si>
  <si>
    <t>H(Аг)</t>
  </si>
  <si>
    <t>1,0000E-01</t>
  </si>
  <si>
    <t>-2,047E+01</t>
  </si>
  <si>
    <t>-2,098E+01</t>
  </si>
  <si>
    <t>1,2000E-01</t>
  </si>
  <si>
    <t>-1,906E+01</t>
  </si>
  <si>
    <t>Convergency</t>
  </si>
  <si>
    <t>8,7129E-15</t>
  </si>
  <si>
    <t>-1,902E+01</t>
  </si>
  <si>
    <t>-6,099E+01</t>
  </si>
  <si>
    <t>-1,535E+01</t>
  </si>
  <si>
    <t>-2,189E+01</t>
  </si>
  <si>
    <t>3,0000E-01</t>
  </si>
  <si>
    <t>2,8507E-09</t>
  </si>
  <si>
    <t>9,8546E-09</t>
  </si>
  <si>
    <t>-5,539E+01</t>
  </si>
  <si>
    <t>-1,436E+01</t>
  </si>
  <si>
    <t>5,5795E-09</t>
  </si>
  <si>
    <t>3,7176E-10</t>
  </si>
  <si>
    <t>-4,892E+01</t>
  </si>
  <si>
    <t>-1,230E+01</t>
  </si>
  <si>
    <t>-1,997E+01</t>
  </si>
  <si>
    <t>3,9886E-09</t>
  </si>
  <si>
    <t>2,4355E-24</t>
  </si>
  <si>
    <t>3,6683E-12</t>
  </si>
  <si>
    <t>-1,911E+01</t>
  </si>
  <si>
    <t>-4,266E+01</t>
  </si>
  <si>
    <t>-1,001E+01</t>
  </si>
  <si>
    <t>5,0639E-09</t>
  </si>
  <si>
    <t>9,8691E-16</t>
  </si>
  <si>
    <t>2,1788E-17</t>
  </si>
  <si>
    <t>-3,728E+01</t>
  </si>
  <si>
    <t>-8,021E+00</t>
  </si>
  <si>
    <t>2,2963E-36</t>
  </si>
  <si>
    <t>1,7335E-09</t>
  </si>
  <si>
    <t>1,9322E-11</t>
  </si>
  <si>
    <t>1,9740E-29</t>
  </si>
  <si>
    <t>-1,923E+01</t>
  </si>
  <si>
    <t>-3,260E+01</t>
  </si>
  <si>
    <t>-6,280E+00</t>
  </si>
  <si>
    <t>-2,149E+01</t>
  </si>
  <si>
    <t>7,1299E-38</t>
  </si>
  <si>
    <t>4,9778E-09</t>
  </si>
  <si>
    <t>4,5760E-09</t>
  </si>
  <si>
    <t>2,5350E-33</t>
  </si>
  <si>
    <t>-1,930E+01</t>
  </si>
  <si>
    <t>-2,848E+01</t>
  </si>
  <si>
    <t>-4,736E+00</t>
  </si>
  <si>
    <t>-2,201E+01</t>
  </si>
  <si>
    <t>6,4729E-09</t>
  </si>
  <si>
    <t>8,4005E-09</t>
  </si>
  <si>
    <t>1,5513E-01</t>
  </si>
  <si>
    <t>4,1270E-01</t>
  </si>
  <si>
    <t>2,2433E-02</t>
  </si>
  <si>
    <t>1,0518E-30</t>
  </si>
  <si>
    <t>-2,541E+01</t>
  </si>
  <si>
    <t>-4,141E+00</t>
  </si>
  <si>
    <t>-2,251E+01</t>
  </si>
  <si>
    <t>2,2243E-01</t>
  </si>
  <si>
    <t>2,1300E-43</t>
  </si>
  <si>
    <t>9,9393E-09</t>
  </si>
  <si>
    <t>5,4464E-24</t>
  </si>
  <si>
    <t>8,1328E-11</t>
  </si>
  <si>
    <t>4,7999E-01</t>
  </si>
  <si>
    <t>2,0362E-06</t>
  </si>
  <si>
    <t>4,1591E-36</t>
  </si>
  <si>
    <t>1,3863E-28</t>
  </si>
  <si>
    <t>2,0058E-22</t>
  </si>
  <si>
    <t>-2,673E+01</t>
  </si>
  <si>
    <t>-4,223E+00</t>
  </si>
  <si>
    <t>-2,302E+01</t>
  </si>
  <si>
    <t>1,2890E-20</t>
  </si>
  <si>
    <t>7,0783E-09</t>
  </si>
  <si>
    <t>2,7126E-13</t>
  </si>
  <si>
    <t>7,2549E-26</t>
  </si>
  <si>
    <t>7,7761E-20</t>
  </si>
  <si>
    <t>1,3659E-27</t>
  </si>
  <si>
    <t>5,5174E-22</t>
  </si>
  <si>
    <t>7,6131E-12</t>
  </si>
  <si>
    <t>-3,178E+01</t>
  </si>
  <si>
    <t>-4,553E+00</t>
  </si>
  <si>
    <t>-2,496E+01</t>
  </si>
  <si>
    <t>1,1103E-10</t>
  </si>
  <si>
    <t>3,0353E-09</t>
  </si>
  <si>
    <t>4,3305E-11</t>
  </si>
  <si>
    <t>2,5107E-30</t>
  </si>
  <si>
    <t>8,0203E-22</t>
  </si>
  <si>
    <t>1,6886E-17</t>
  </si>
  <si>
    <t>5,2134E-ll</t>
  </si>
  <si>
    <t>-3,628E+01</t>
  </si>
  <si>
    <t>-4,873E+00</t>
  </si>
  <si>
    <t>-2,677E+01</t>
  </si>
  <si>
    <t>2,7699E-10</t>
  </si>
  <si>
    <t>2,3158E-09</t>
  </si>
  <si>
    <t>1,4366E-09</t>
  </si>
  <si>
    <t>1,1605E-17</t>
  </si>
  <si>
    <t>2,9747E-14</t>
  </si>
  <si>
    <t>-4,005E+01</t>
  </si>
  <si>
    <t>-5,175E+00</t>
  </si>
  <si>
    <t>-2,849E+01</t>
  </si>
  <si>
    <t>3,6552E-09</t>
  </si>
  <si>
    <t>6,0803E-09</t>
  </si>
  <si>
    <t>2,4853E-09</t>
  </si>
  <si>
    <t>8,4931E-17</t>
  </si>
  <si>
    <t>1,4100E-13</t>
  </si>
  <si>
    <t>-1,988E+01</t>
  </si>
  <si>
    <t>-4,086E+01</t>
  </si>
  <si>
    <t>-5,247E+00</t>
  </si>
  <si>
    <t>-2,890E+01</t>
  </si>
  <si>
    <t>5,4224E-09</t>
  </si>
  <si>
    <t>5,6427E-09</t>
  </si>
  <si>
    <t>4,4833E-09</t>
  </si>
  <si>
    <t>5,4555E-16</t>
  </si>
  <si>
    <t>6,0427E-13</t>
  </si>
  <si>
    <t>-1,994E+01</t>
  </si>
  <si>
    <t>-4,161E+01</t>
  </si>
  <si>
    <t>-5,318E+00</t>
  </si>
  <si>
    <t>-2,931E+01</t>
  </si>
  <si>
    <t>8,4708E-09</t>
  </si>
  <si>
    <t>5,2987E-09</t>
  </si>
  <si>
    <t>1,1865E-08</t>
  </si>
  <si>
    <t>3,1138E-15</t>
  </si>
  <si>
    <t>2,3635E-12</t>
  </si>
  <si>
    <t>-2,000E+01</t>
  </si>
  <si>
    <t>-4,231E+01</t>
  </si>
  <si>
    <t>-5,389E+00</t>
  </si>
  <si>
    <t>-2,972E+01</t>
  </si>
  <si>
    <t>1,9588E-08</t>
  </si>
  <si>
    <t>6,9241E-09</t>
  </si>
  <si>
    <t>2,9401E-08</t>
  </si>
  <si>
    <t>1,5963E-14</t>
  </si>
  <si>
    <t>8,5073E-12</t>
  </si>
  <si>
    <t>-4,294E+01</t>
  </si>
  <si>
    <t>-5,458E+00</t>
  </si>
  <si>
    <t>-3,012E+01</t>
  </si>
  <si>
    <t>4,2759E-08</t>
  </si>
  <si>
    <t>7,7295E-09</t>
  </si>
  <si>
    <t>5,9994E-02</t>
  </si>
  <si>
    <t>5,8922E-06</t>
  </si>
  <si>
    <t>3,9471E-12</t>
  </si>
  <si>
    <t>6,6755E-10</t>
  </si>
  <si>
    <t>-4,486E+01</t>
  </si>
  <si>
    <t>-5,787E+00</t>
  </si>
  <si>
    <t>-3,169E+01</t>
  </si>
  <si>
    <t>2,7010E-08</t>
  </si>
  <si>
    <t>1,9743E-08</t>
  </si>
  <si>
    <t>1,7848E-10</t>
  </si>
  <si>
    <t>1,6446E-08</t>
  </si>
  <si>
    <t>-4,572E+01</t>
  </si>
  <si>
    <t>-6,388E+00</t>
  </si>
  <si>
    <t>-3,322E+01</t>
  </si>
  <si>
    <t>6,9147E-09</t>
  </si>
  <si>
    <t>1,4553E-08</t>
  </si>
  <si>
    <t>4,1200E-10</t>
  </si>
  <si>
    <t>3,3279E-08</t>
  </si>
  <si>
    <t>-2,051E+01</t>
  </si>
  <si>
    <t>-4,576E+01</t>
  </si>
  <si>
    <t>-6,525E+00</t>
  </si>
  <si>
    <t>-3,359E+01</t>
  </si>
  <si>
    <t>8,1772E-09</t>
  </si>
  <si>
    <t>8,2159E-09</t>
  </si>
  <si>
    <t>9,1375E-10</t>
  </si>
  <si>
    <t>6,5149E-08</t>
  </si>
  <si>
    <t>-2,056E+01</t>
  </si>
  <si>
    <t>-4,574E+01</t>
  </si>
  <si>
    <t>-6,658E+00</t>
  </si>
  <si>
    <t>-3,397E+01</t>
  </si>
  <si>
    <t>6,9154E-09</t>
  </si>
  <si>
    <t>7,8680E-09</t>
  </si>
  <si>
    <t>1,9525E-09</t>
  </si>
  <si>
    <t>1,2367E-07</t>
  </si>
  <si>
    <t>-2,060E+01</t>
  </si>
  <si>
    <t>-4,564E+01</t>
  </si>
  <si>
    <t>-6,787E+00</t>
  </si>
  <si>
    <t>-3,434E+01</t>
  </si>
  <si>
    <t>9,4338E-09</t>
  </si>
  <si>
    <t>6,0850E-09</t>
  </si>
  <si>
    <t>4,0296E-09</t>
  </si>
  <si>
    <t>2,2808E-07</t>
  </si>
  <si>
    <t>-4,547E+01</t>
  </si>
  <si>
    <t>-6,911E+00</t>
  </si>
  <si>
    <t>-3,471E+01</t>
  </si>
  <si>
    <t>9,9983E-09</t>
  </si>
  <si>
    <t>Fluid</t>
  </si>
  <si>
    <t>Solid</t>
  </si>
  <si>
    <t>All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</si>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</sst>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8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4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165" fontId="8" fillId="2" borderId="2">
      <alignment horizontal="left" vertical="center"/>
    </xf>
    <xf numFmtId="0" fontId="18" fillId="3" borderId="10" applyNumberFormat="0">
      <alignment horizontal="left" vertical="center"/>
    </xf>
    <xf numFmtId="164" fontId="17" fillId="0" borderId="0"/>
    <xf numFmtId="11" fontId="5" fillId="6" borderId="0">
      <alignment vertical="top"/>
    </xf>
    <xf numFmtId="0" fontId="21" fillId="4" borderId="0"/>
    <xf numFmtId="0" fontId="27" fillId="21" borderId="0" applyNumberFormat="0" applyBorder="0" applyAlignment="0" applyProtection="0"/>
    <xf numFmtId="0" fontId="26" fillId="5" borderId="0">
      <alignment horizontal="center" vertical="center"/>
    </xf>
  </cellStyleXfs>
  <cellXfs count="109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8" xfId="0" applyFont="1" applyFill="1" applyBorder="1" applyAlignment="1"/>
    <xf numFmtId="0" fontId="6" fillId="8" borderId="7" xfId="0" applyFont="1" applyFill="1" applyBorder="1" applyAlignment="1"/>
    <xf numFmtId="0" fontId="6" fillId="8" borderId="8" xfId="0" applyFont="1" applyFill="1" applyBorder="1" applyAlignment="1"/>
    <xf numFmtId="0" fontId="1" fillId="8" borderId="5" xfId="0" applyFont="1" applyFill="1" applyBorder="1" applyAlignment="1"/>
    <xf numFmtId="0" fontId="1" fillId="4" borderId="0" xfId="0" applyFont="1" applyFill="1" applyAlignment="1"/>
    <xf numFmtId="0" fontId="6" fillId="8" borderId="5" xfId="0" applyFont="1" applyFill="1" applyBorder="1" applyAlignment="1"/>
    <xf numFmtId="0" fontId="6" fillId="8" borderId="9" xfId="0" applyFont="1" applyFill="1" applyBorder="1" applyAlignment="1"/>
    <xf numFmtId="0" fontId="1" fillId="2" borderId="12" xfId="0" applyFont="1" applyFill="1" applyBorder="1" applyAlignment="1">
      <alignment horizontal="center" vertical="center"/>
    </xf>
    <xf numFmtId="0" fontId="0" fillId="6" borderId="13" xfId="0" applyFill="1" applyBorder="1"/>
    <xf numFmtId="0" fontId="0" fillId="9" borderId="0" xfId="0" applyFill="1"/>
    <xf numFmtId="0" fontId="8" fillId="7" borderId="0" xfId="0" applyFont="1" applyFill="1"/>
    <xf numFmtId="0" fontId="8" fillId="2" borderId="14" xfId="0" applyFont="1" applyFill="1" applyBorder="1"/>
    <xf numFmtId="0" fontId="8" fillId="2" borderId="15" xfId="0" applyFont="1" applyFill="1" applyBorder="1"/>
    <xf numFmtId="0" fontId="11" fillId="2" borderId="14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" fillId="4" borderId="18" xfId="0" applyFont="1" applyFill="1" applyBorder="1" applyAlignment="1"/>
    <xf numFmtId="0" fontId="8" fillId="2" borderId="19" xfId="0" applyFont="1" applyFill="1" applyBorder="1"/>
    <xf numFmtId="0" fontId="0" fillId="4" borderId="18" xfId="0" applyFill="1" applyBorder="1"/>
    <xf numFmtId="0" fontId="0" fillId="4" borderId="17" xfId="0" applyFill="1" applyBorder="1"/>
    <xf numFmtId="0" fontId="0" fillId="0" borderId="0" xfId="0" applyAlignment="1">
      <alignment wrapText="1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15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7" fillId="0" borderId="0" xfId="3"/>
    <xf numFmtId="11" fontId="17" fillId="0" borderId="0" xfId="3" applyNumberFormat="1"/>
    <xf numFmtId="0" fontId="0" fillId="9" borderId="0" xfId="0" applyFill="1" applyAlignment="1">
      <alignment wrapText="1"/>
    </xf>
    <xf numFmtId="0" fontId="0" fillId="0" borderId="0" xfId="0" applyFill="1"/>
    <xf numFmtId="0" fontId="18" fillId="3" borderId="10" xfId="2" applyNumberFormat="1">
      <alignment horizontal="left" vertical="center"/>
    </xf>
    <xf numFmtId="0" fontId="18" fillId="3" borderId="10" xfId="2">
      <alignment horizontal="left" vertical="center"/>
    </xf>
    <xf numFmtId="0" fontId="6" fillId="8" borderId="16" xfId="0" applyFont="1" applyFill="1" applyBorder="1" applyAlignment="1"/>
    <xf numFmtId="0" fontId="6" fillId="8" borderId="18" xfId="0" applyFont="1" applyFill="1" applyBorder="1" applyAlignment="1"/>
    <xf numFmtId="0" fontId="6" fillId="8" borderId="17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0" fontId="0" fillId="4" borderId="0" xfId="0" applyFill="1"/>
    <xf numFmtId="0" fontId="0" fillId="0" borderId="0" xfId="0" applyFill="1" applyAlignment="1">
      <alignment wrapText="1"/>
    </xf>
    <xf numFmtId="11" fontId="8" fillId="2" borderId="2" xfId="1" applyNumberFormat="1">
      <alignment horizontal="left" vertical="center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0" fontId="17" fillId="0" borderId="0" xfId="0" applyFont="1" applyAlignment="1">
      <alignment horizontal="right"/>
    </xf>
    <xf numFmtId="11" fontId="18" fillId="3" borderId="10" xfId="2" applyNumberFormat="1">
      <alignment horizontal="left" vertical="center"/>
    </xf>
    <xf numFmtId="0" fontId="21" fillId="4" borderId="0" xfId="0" applyFont="1" applyFill="1" applyAlignment="1"/>
    <xf numFmtId="0" fontId="21" fillId="4" borderId="0" xfId="5"/>
    <xf numFmtId="0" fontId="0" fillId="14" borderId="0" xfId="0" applyFill="1"/>
    <xf numFmtId="0" fontId="20" fillId="15" borderId="0" xfId="0" applyFont="1" applyFill="1"/>
    <xf numFmtId="0" fontId="0" fillId="15" borderId="0" xfId="0" applyFill="1"/>
    <xf numFmtId="0" fontId="0" fillId="15" borderId="18" xfId="0" applyFill="1" applyBorder="1"/>
    <xf numFmtId="0" fontId="0" fillId="16" borderId="0" xfId="0" applyFill="1"/>
    <xf numFmtId="0" fontId="18" fillId="3" borderId="15" xfId="2" applyNumberFormat="1" applyBorder="1">
      <alignment horizontal="left" vertical="center"/>
    </xf>
    <xf numFmtId="0" fontId="24" fillId="15" borderId="18" xfId="0" applyFont="1" applyFill="1" applyBorder="1" applyAlignment="1">
      <alignment horizontal="center" vertical="center"/>
    </xf>
    <xf numFmtId="0" fontId="24" fillId="15" borderId="17" xfId="0" applyFont="1" applyFill="1" applyBorder="1" applyAlignment="1">
      <alignment horizontal="center" vertical="center"/>
    </xf>
    <xf numFmtId="0" fontId="24" fillId="17" borderId="17" xfId="0" applyFont="1" applyFill="1" applyBorder="1" applyAlignment="1">
      <alignment horizontal="center" vertical="center"/>
    </xf>
    <xf numFmtId="0" fontId="24" fillId="18" borderId="16" xfId="0" applyFont="1" applyFill="1" applyBorder="1" applyAlignment="1">
      <alignment horizontal="left" vertical="center"/>
    </xf>
    <xf numFmtId="0" fontId="24" fillId="18" borderId="17" xfId="0" applyFont="1" applyFill="1" applyBorder="1" applyAlignment="1">
      <alignment horizontal="center" vertical="center"/>
    </xf>
    <xf numFmtId="0" fontId="24" fillId="19" borderId="17" xfId="0" applyFont="1" applyFill="1" applyBorder="1" applyAlignment="1">
      <alignment horizontal="center" vertical="center"/>
    </xf>
    <xf numFmtId="0" fontId="2" fillId="15" borderId="10" xfId="0" applyFont="1" applyFill="1" applyBorder="1" applyAlignment="1">
      <alignment horizontal="right" vertical="center"/>
    </xf>
    <xf numFmtId="0" fontId="2" fillId="17" borderId="10" xfId="0" applyFont="1" applyFill="1" applyBorder="1" applyAlignment="1">
      <alignment horizontal="right" vertical="center"/>
    </xf>
    <xf numFmtId="0" fontId="24" fillId="18" borderId="17" xfId="0" applyFont="1" applyFill="1" applyBorder="1" applyAlignment="1">
      <alignment horizontal="right" vertical="center"/>
    </xf>
    <xf numFmtId="0" fontId="24" fillId="19" borderId="10" xfId="0" applyFont="1" applyFill="1" applyBorder="1" applyAlignment="1">
      <alignment horizontal="right" vertical="center"/>
    </xf>
    <xf numFmtId="11" fontId="17" fillId="11" borderId="0" xfId="3" applyNumberFormat="1" applyFill="1"/>
    <xf numFmtId="0" fontId="17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20" borderId="0" xfId="0" applyFill="1"/>
    <xf numFmtId="11" fontId="4" fillId="0" borderId="0" xfId="0" applyNumberFormat="1" applyFont="1" applyFill="1" applyBorder="1" applyAlignment="1" applyProtection="1">
      <alignment vertical="top"/>
    </xf>
    <xf numFmtId="11" fontId="3" fillId="0" borderId="0" xfId="0" applyNumberFormat="1" applyFont="1" applyFill="1" applyBorder="1" applyAlignment="1" applyProtection="1">
      <alignment vertical="top"/>
    </xf>
    <xf numFmtId="2" fontId="17" fillId="0" borderId="0" xfId="3" applyNumberFormat="1"/>
    <xf numFmtId="11" fontId="25" fillId="0" borderId="0" xfId="0" applyNumberFormat="1" applyFont="1" applyFill="1" applyBorder="1" applyAlignment="1" applyProtection="1">
      <alignment vertical="top"/>
    </xf>
    <xf numFmtId="164" fontId="0" fillId="0" borderId="0" xfId="0" applyNumberFormat="1"/>
    <xf numFmtId="164" fontId="0" fillId="6" borderId="0" xfId="0" applyNumberFormat="1" applyFill="1"/>
    <xf numFmtId="11" fontId="17" fillId="0" borderId="0" xfId="3" applyNumberFormat="1" applyFill="1"/>
    <xf numFmtId="165" fontId="8" fillId="2" borderId="2" xfId="1">
      <alignment horizontal="left"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19" xfId="0" applyBorder="1"/>
    <xf numFmtId="0" fontId="0" fillId="0" borderId="25" xfId="0" applyBorder="1"/>
    <xf numFmtId="0" fontId="0" fillId="0" borderId="26" xfId="0" applyBorder="1"/>
    <xf numFmtId="0" fontId="0" fillId="0" borderId="1" xfId="0" applyBorder="1"/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9" fillId="13" borderId="0" xfId="0" applyFont="1" applyFill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5" fillId="6" borderId="0" xfId="4" applyNumberFormat="1">
      <alignment vertical="top"/>
    </xf>
    <xf numFmtId="0" fontId="26" fillId="5" borderId="0" xfId="7">
      <alignment horizontal="center" vertical="center"/>
    </xf>
  </cellXfs>
  <cellStyles count="8">
    <cellStyle name="Ввод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Форм" xfId="4" xr:uid="{00000000-0005-0000-0000-000004000000}"/>
  </cellStyles>
  <dxfs count="13">
    <dxf>
      <font>
        <color theme="1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ALL!$F$37:$AA$37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ALL!$F$38:$AA$38</c:f>
              <c:numCache>
                <c:formatCode>General</c:formatCode>
                <c:ptCount val="22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8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ALL!$F$6:$AA$6</c:f>
              <c:numCache>
                <c:formatCode>0.00</c:formatCode>
                <c:ptCount val="22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0EAA-4093-8DEA-E2502666A289}"/>
            </c:ext>
          </c:extLst>
        </c:ser>
        <c:ser>
          <c:idx val="9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ALL!$F$7:$AA$7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0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ALL!$F$8:$AA$8</c:f>
              <c:numCache>
                <c:formatCode>0.00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EAA-4093-8DEA-E2502666A289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8B-4FF5-9E62-A50818EEB2F1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0EAA-4093-8DEA-E2502666A289}"/>
                  </c:ext>
                </c:extLst>
              </c15:ser>
            </c15:filteredScatterSeries>
            <c15:filteredScatte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AA-4093-8DEA-E2502666A289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AA-4093-8DEA-E2502666A289}"/>
                  </c:ext>
                </c:extLst>
              </c15:ser>
            </c15:filteredScatterSeries>
            <c15:filteredScatterSeries>
              <c15:ser>
                <c:idx val="0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ALL!$F$10:$AA$10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AA-4093-8DEA-E2502666A289}"/>
                  </c:ext>
                </c:extLst>
              </c15:ser>
            </c15:filteredScatterSeries>
            <c15:filteredScatter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ALL!$F$11:$AA$11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AA-4093-8DEA-E2502666A289}"/>
                  </c:ext>
                </c:extLst>
              </c15:ser>
            </c15:filteredScatterSeries>
            <c15:filteredScatte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ALL!$F$12:$AA$12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AA-4093-8DEA-E2502666A289}"/>
                  </c:ext>
                </c:extLst>
              </c15:ser>
            </c15:filteredScatterSeries>
            <c15:filteredScatte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ALL!$F$13:$AA$13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AA-4093-8DEA-E2502666A289}"/>
                  </c:ext>
                </c:extLst>
              </c15:ser>
            </c15:filteredScatterSeries>
            <c15:filteredScatter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AA-4093-8DEA-E2502666A289}"/>
                  </c:ext>
                </c:extLst>
              </c15:ser>
            </c15:filteredScatterSeries>
            <c15:filteredScatterSeries>
              <c15:ser>
                <c:idx val="5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AA-4093-8DEA-E2502666A2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ALL!$F$16:$AA$16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E0-4A3E-AC7E-56FAA3E8CB9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E0-4A3E-AC7E-56FAA3E8CB9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ALL!$F$18:$AA$18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EE0-4A3E-AC7E-56FAA3E8CB9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EE0-4A3E-AC7E-56FAA3E8CB9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EE0-4A3E-AC7E-56FAA3E8CB9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EE0-4A3E-AC7E-56FAA3E8CB9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EE0-4A3E-AC7E-56FAA3E8CB96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ALL!$F$115:$AM$115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ALL!$F$116:$AM$116</c:f>
              <c:numCache>
                <c:formatCode>0</c:formatCode>
                <c:ptCount val="34"/>
                <c:pt idx="0">
                  <c:v>-273.27222024545767</c:v>
                </c:pt>
                <c:pt idx="1">
                  <c:v>-296.49863021709274</c:v>
                </c:pt>
                <c:pt idx="2">
                  <c:v>-317.66214266472616</c:v>
                </c:pt>
                <c:pt idx="3">
                  <c:v>-331.802764632736</c:v>
                </c:pt>
                <c:pt idx="4">
                  <c:v>-348.69440401523849</c:v>
                </c:pt>
                <c:pt idx="5">
                  <c:v>-376.62331661032351</c:v>
                </c:pt>
                <c:pt idx="6">
                  <c:v>-427.3135371895176</c:v>
                </c:pt>
                <c:pt idx="7">
                  <c:v>-633.93543623277378</c:v>
                </c:pt>
                <c:pt idx="8">
                  <c:v>-694.62562127335298</c:v>
                </c:pt>
                <c:pt idx="9">
                  <c:v>-756.71248312547812</c:v>
                </c:pt>
                <c:pt idx="10">
                  <c:v>-820.64242361931872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-1548.3325394869191</c:v>
                </c:pt>
                <c:pt idx="15">
                  <c:v>-1868.2017970383879</c:v>
                </c:pt>
                <c:pt idx="16">
                  <c:v>-1950.6611640188546</c:v>
                </c:pt>
                <c:pt idx="17">
                  <c:v>-2031.642201820147</c:v>
                </c:pt>
                <c:pt idx="18">
                  <c:v>-2114.4239196907956</c:v>
                </c:pt>
                <c:pt idx="19">
                  <c:v>-2195.893370256651</c:v>
                </c:pt>
                <c:pt idx="20">
                  <c:v>-2521.3622539169141</c:v>
                </c:pt>
                <c:pt idx="21">
                  <c:v>-2840.5449939642649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ALL!$F$115:$AM$115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ALL!$F$120:$AM$120</c:f>
              <c:numCache>
                <c:formatCode>0</c:formatCode>
                <c:ptCount val="34"/>
                <c:pt idx="0">
                  <c:v>-510.44785267394775</c:v>
                </c:pt>
                <c:pt idx="1">
                  <c:v>-520.43639327226128</c:v>
                </c:pt>
                <c:pt idx="2">
                  <c:v>-532.30833663031922</c:v>
                </c:pt>
                <c:pt idx="3">
                  <c:v>-545.47211950334406</c:v>
                </c:pt>
                <c:pt idx="4">
                  <c:v>-559.53825967334512</c:v>
                </c:pt>
                <c:pt idx="5">
                  <c:v>-575.37834513839982</c:v>
                </c:pt>
                <c:pt idx="6">
                  <c:v>-594.51153756047165</c:v>
                </c:pt>
                <c:pt idx="7">
                  <c:v>-635.14714649508926</c:v>
                </c:pt>
                <c:pt idx="8">
                  <c:v>-694.62575777499944</c:v>
                </c:pt>
                <c:pt idx="9">
                  <c:v>-756.71248315493779</c:v>
                </c:pt>
                <c:pt idx="10">
                  <c:v>-820.64242361933009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-1548.3325394869203</c:v>
                </c:pt>
                <c:pt idx="15">
                  <c:v>-1868.201797038779</c:v>
                </c:pt>
                <c:pt idx="16">
                  <c:v>-1950.6611640202111</c:v>
                </c:pt>
                <c:pt idx="17">
                  <c:v>-2031.6422018245287</c:v>
                </c:pt>
                <c:pt idx="18">
                  <c:v>-2114.4239197040783</c:v>
                </c:pt>
                <c:pt idx="19">
                  <c:v>-2195.8933702945637</c:v>
                </c:pt>
                <c:pt idx="20">
                  <c:v>-2521.3622554335789</c:v>
                </c:pt>
                <c:pt idx="21">
                  <c:v>-2840.5450256607414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ALL!$F$37:$AM$37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ALL!$F$38:$AM$38</c:f>
              <c:numCache>
                <c:formatCode>General</c:formatCode>
                <c:ptCount val="34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-3269.7810881607415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ALL!$F$117:$AM$117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-269.81787327914708</c:v>
                      </c:pt>
                      <c:pt idx="1">
                        <c:v>-280.89500508235648</c:v>
                      </c:pt>
                      <c:pt idx="2">
                        <c:v>-289.15632247299902</c:v>
                      </c:pt>
                      <c:pt idx="3">
                        <c:v>-295.32016354375281</c:v>
                      </c:pt>
                      <c:pt idx="4">
                        <c:v>-299.87129523010088</c:v>
                      </c:pt>
                      <c:pt idx="5">
                        <c:v>-298.19467402516756</c:v>
                      </c:pt>
                      <c:pt idx="6">
                        <c:v>-294.83831538491461</c:v>
                      </c:pt>
                      <c:pt idx="7">
                        <c:v>-228.52742999331298</c:v>
                      </c:pt>
                      <c:pt idx="8">
                        <c:v>-240.62330889318145</c:v>
                      </c:pt>
                      <c:pt idx="9">
                        <c:v>-262.57229891216673</c:v>
                      </c:pt>
                      <c:pt idx="10">
                        <c:v>-287.62631541655134</c:v>
                      </c:pt>
                      <c:pt idx="11">
                        <c:v>-314.23719396432745</c:v>
                      </c:pt>
                      <c:pt idx="12">
                        <c:v>-341.93680724483863</c:v>
                      </c:pt>
                      <c:pt idx="13">
                        <c:v>-460.29657489815315</c:v>
                      </c:pt>
                      <c:pt idx="14">
                        <c:v>-585.65878877209389</c:v>
                      </c:pt>
                      <c:pt idx="15">
                        <c:v>-711.88885006662588</c:v>
                      </c:pt>
                      <c:pt idx="16">
                        <c:v>-743.18229733883595</c:v>
                      </c:pt>
                      <c:pt idx="17">
                        <c:v>-773.55037955836917</c:v>
                      </c:pt>
                      <c:pt idx="18">
                        <c:v>-803.75274595954545</c:v>
                      </c:pt>
                      <c:pt idx="19">
                        <c:v>-832.85278201698009</c:v>
                      </c:pt>
                      <c:pt idx="20">
                        <c:v>-940.37768067179752</c:v>
                      </c:pt>
                      <c:pt idx="21">
                        <c:v>-1028.6803333229072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ALL!$F$118:$AM$118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-237.17563242849008</c:v>
                      </c:pt>
                      <c:pt idx="1">
                        <c:v>-223.93776305516852</c:v>
                      </c:pt>
                      <c:pt idx="2">
                        <c:v>-214.64619396559306</c:v>
                      </c:pt>
                      <c:pt idx="3">
                        <c:v>-213.66935487060803</c:v>
                      </c:pt>
                      <c:pt idx="4">
                        <c:v>-210.84385565810666</c:v>
                      </c:pt>
                      <c:pt idx="5">
                        <c:v>-198.75502852807628</c:v>
                      </c:pt>
                      <c:pt idx="6">
                        <c:v>-167.19800037095402</c:v>
                      </c:pt>
                      <c:pt idx="7">
                        <c:v>-1.2117102623154976</c:v>
                      </c:pt>
                      <c:pt idx="8">
                        <c:v>-1.3650164645147869E-4</c:v>
                      </c:pt>
                      <c:pt idx="9">
                        <c:v>-2.9459692420060309E-8</c:v>
                      </c:pt>
                      <c:pt idx="10">
                        <c:v>-1.1322046540359577E-11</c:v>
                      </c:pt>
                      <c:pt idx="11">
                        <c:v>-7.2298849711329807E-15</c:v>
                      </c:pt>
                      <c:pt idx="12">
                        <c:v>-7.2691758966830498E-18</c:v>
                      </c:pt>
                      <c:pt idx="13">
                        <c:v>-5.4507143372282674E-16</c:v>
                      </c:pt>
                      <c:pt idx="14">
                        <c:v>-1.1592660649777627E-12</c:v>
                      </c:pt>
                      <c:pt idx="15">
                        <c:v>-3.9101666271731005E-10</c:v>
                      </c:pt>
                      <c:pt idx="16">
                        <c:v>-1.3565096879857052E-9</c:v>
                      </c:pt>
                      <c:pt idx="17">
                        <c:v>-4.3817523993117614E-9</c:v>
                      </c:pt>
                      <c:pt idx="18">
                        <c:v>-1.3282872045240003E-8</c:v>
                      </c:pt>
                      <c:pt idx="19">
                        <c:v>-3.7912887357083108E-8</c:v>
                      </c:pt>
                      <c:pt idx="20">
                        <c:v>-1.5166645328986553E-6</c:v>
                      </c:pt>
                      <c:pt idx="21">
                        <c:v>-3.1696476619875006E-5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ALL!$F$119:$AM$119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-315.19357914849002</c:v>
                      </c:pt>
                      <c:pt idx="1">
                        <c:v>-310.62203784266853</c:v>
                      </c:pt>
                      <c:pt idx="2">
                        <c:v>-310.21596704059306</c:v>
                      </c:pt>
                      <c:pt idx="3">
                        <c:v>-318.20759108560804</c:v>
                      </c:pt>
                      <c:pt idx="4">
                        <c:v>-324.44740508060664</c:v>
                      </c:pt>
                      <c:pt idx="5">
                        <c:v>-321.47017520807628</c:v>
                      </c:pt>
                      <c:pt idx="6">
                        <c:v>-298.93286908345408</c:v>
                      </c:pt>
                      <c:pt idx="7">
                        <c:v>-140.93588502231555</c:v>
                      </c:pt>
                      <c:pt idx="8">
                        <c:v>-149.04802527164651</c:v>
                      </c:pt>
                      <c:pt idx="9">
                        <c:v>-158.43640047945976</c:v>
                      </c:pt>
                      <c:pt idx="10">
                        <c:v>-167.88970980001136</c:v>
                      </c:pt>
                      <c:pt idx="11">
                        <c:v>-177.40781682000005</c:v>
                      </c:pt>
                      <c:pt idx="12">
                        <c:v>-186.99072151000004</c:v>
                      </c:pt>
                      <c:pt idx="13">
                        <c:v>-225.71249818250007</c:v>
                      </c:pt>
                      <c:pt idx="14">
                        <c:v>-265.26242677000118</c:v>
                      </c:pt>
                      <c:pt idx="15">
                        <c:v>-305.34931962539105</c:v>
                      </c:pt>
                      <c:pt idx="16">
                        <c:v>-315.73801022635661</c:v>
                      </c:pt>
                      <c:pt idx="17">
                        <c:v>-325.74215520438185</c:v>
                      </c:pt>
                      <c:pt idx="18">
                        <c:v>-336.072090013283</c:v>
                      </c:pt>
                      <c:pt idx="19">
                        <c:v>-346.16838738791296</c:v>
                      </c:pt>
                      <c:pt idx="20">
                        <c:v>-387.29440021666471</c:v>
                      </c:pt>
                      <c:pt idx="21">
                        <c:v>-429.23609419647676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ALL!$F$121:$AM$121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-588.46579939394769</c:v>
                      </c:pt>
                      <c:pt idx="1">
                        <c:v>-607.12066805976133</c:v>
                      </c:pt>
                      <c:pt idx="2">
                        <c:v>-627.87810970531928</c:v>
                      </c:pt>
                      <c:pt idx="3">
                        <c:v>-650.01035571834404</c:v>
                      </c:pt>
                      <c:pt idx="4">
                        <c:v>-673.14180909584513</c:v>
                      </c:pt>
                      <c:pt idx="5">
                        <c:v>-698.0934918183998</c:v>
                      </c:pt>
                      <c:pt idx="6">
                        <c:v>-726.24640627297163</c:v>
                      </c:pt>
                      <c:pt idx="7">
                        <c:v>-774.87132125508936</c:v>
                      </c:pt>
                      <c:pt idx="8">
                        <c:v>-843.67364654499943</c:v>
                      </c:pt>
                      <c:pt idx="9">
                        <c:v>-915.14888360493785</c:v>
                      </c:pt>
                      <c:pt idx="10">
                        <c:v>-988.53213341933008</c:v>
                      </c:pt>
                      <c:pt idx="11">
                        <c:v>-1064.0209515686968</c:v>
                      </c:pt>
                      <c:pt idx="12">
                        <c:v>-1141.5479503993893</c:v>
                      </c:pt>
                      <c:pt idx="13">
                        <c:v>-1466.9588943618101</c:v>
                      </c:pt>
                      <c:pt idx="14">
                        <c:v>-1813.5949662569203</c:v>
                      </c:pt>
                      <c:pt idx="15">
                        <c:v>-2173.5511166637789</c:v>
                      </c:pt>
                      <c:pt idx="16">
                        <c:v>-2266.3991742452113</c:v>
                      </c:pt>
                      <c:pt idx="17">
                        <c:v>-2357.384357024529</c:v>
                      </c:pt>
                      <c:pt idx="18">
                        <c:v>-2450.4960097040785</c:v>
                      </c:pt>
                      <c:pt idx="19">
                        <c:v>-2542.0617576445638</c:v>
                      </c:pt>
                      <c:pt idx="20">
                        <c:v>-2908.6566541335787</c:v>
                      </c:pt>
                      <c:pt idx="21">
                        <c:v>-3269.7810881607415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784380230530234"/>
          <c:y val="9.3994478072448276E-2"/>
          <c:w val="0.81502168184157153"/>
          <c:h val="0.78539910293323945"/>
        </c:manualLayout>
      </c:layout>
      <c:scatterChart>
        <c:scatterStyle val="smooth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ALL!$F$6:$AA$6</c:f>
              <c:numCache>
                <c:formatCode>0.00</c:formatCode>
                <c:ptCount val="22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E2-44BD-B323-777F4DBE67DA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ALL!$F$7:$AA$7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E2-44BD-B323-777F4DBE67DA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ALL!$F$8:$AA$8</c:f>
              <c:numCache>
                <c:formatCode>0.00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E2-44BD-B323-777F4DBE67DA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54-4A12-88D0-CEE5EE71E4E7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E28-4C98-AF3D-55EA5937A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4E2-44BD-B323-777F4DBE67D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4E2-44BD-B323-777F4DBE67D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4E2-44BD-B323-777F4DBE67D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ALL!$F$10:$AA$10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E28-4C98-AF3D-55EA5937A8A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ALL!$F$11:$AA$11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E28-4C98-AF3D-55EA5937A8A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ALL!$F$12:$AA$12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E28-4C98-AF3D-55EA5937A8A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ALL!$F$13:$AA$13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E28-4C98-AF3D-55EA5937A8A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28-4C98-AF3D-55EA5937A8A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E28-4C98-AF3D-55EA5937A8A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ALL!$F$16:$AA$16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E28-4C98-AF3D-55EA5937A8A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E28-4C98-AF3D-55EA5937A8A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ALL!$F$18:$AA$18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E28-4C98-AF3D-55EA5937A8A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E28-4C98-AF3D-55EA5937A8A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E28-4C98-AF3D-55EA5937A8A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E28-4C98-AF3D-55EA5937A8A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E28-4C98-AF3D-55EA5937A8A5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ALL!$F$9:$AA$9</c:f>
              <c:numCache>
                <c:formatCode>0.00</c:formatCode>
                <c:ptCount val="22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222-4782-8935-D3231D45701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222-4782-8935-D3231D45701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AC-4CB7-97BC-1D8D71FFD184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C8D-8433-0EC37F558984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222-4782-8935-D3231D45701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22-4782-8935-D3231D45701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2-4782-8935-D3231D4570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22-4782-8935-D3231D45701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22-4782-8935-D3231D45701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2-4782-8935-D3231D45701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22-4782-8935-D3231D45701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AC-4CB7-97BC-1D8D71FFD184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BAC-4CB7-97BC-1D8D71FFD18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BAC-4CB7-97BC-1D8D71FFD184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AC-4CB7-97BC-1D8D71FFD184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AC-4CB7-97BC-1D8D71FFD184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3"/>
                <c:pt idx="0">
                  <c:v>298.2</c:v>
                </c:pt>
                <c:pt idx="1">
                  <c:v>431.7</c:v>
                </c:pt>
                <c:pt idx="2">
                  <c:v>1500</c:v>
                </c:pt>
              </c:numCache>
            </c:numRef>
          </c:xVal>
          <c:yVal>
            <c:numRef>
              <c:f>FLUID!$F$38:$X$38</c:f>
              <c:numCache>
                <c:formatCode>0.0E+00</c:formatCode>
                <c:ptCount val="3"/>
                <c:pt idx="0">
                  <c:v>-137.24794870709999</c:v>
                </c:pt>
                <c:pt idx="1">
                  <c:v>-232.67514456981002</c:v>
                </c:pt>
                <c:pt idx="2">
                  <c:v>-1380.4689067500001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3"/>
                <c:pt idx="0">
                  <c:v>298.2</c:v>
                </c:pt>
                <c:pt idx="1">
                  <c:v>431.7</c:v>
                </c:pt>
                <c:pt idx="2">
                  <c:v>1500</c:v>
                </c:pt>
              </c:numCache>
            </c:numRef>
          </c:xVal>
          <c:yVal>
            <c:numRef>
              <c:f>FLUID!$F$39:$X$39</c:f>
              <c:numCache>
                <c:formatCode>0.0E+00</c:formatCode>
                <c:ptCount val="3"/>
                <c:pt idx="0">
                  <c:v>-60.345724742100003</c:v>
                </c:pt>
                <c:pt idx="1">
                  <c:v>-120.44752017981</c:v>
                </c:pt>
                <c:pt idx="2">
                  <c:v>-932.94094425000003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6-4624-9A08-961B994C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46356433855136"/>
          <c:y val="3.4270725866223706E-2"/>
          <c:w val="0.80410716007831429"/>
          <c:h val="0.845782199163479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FLUID!$E$116</c:f>
              <c:strCache>
                <c:ptCount val="1"/>
                <c:pt idx="0">
                  <c:v>Раствор (жид):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FLUID!$F$115:$AC$115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FLUID!$F$116:$AC$116</c:f>
              <c:numCache>
                <c:formatCode>0.00E+00</c:formatCode>
                <c:ptCount val="24"/>
                <c:pt idx="0">
                  <c:v>-60.34572474210001</c:v>
                </c:pt>
                <c:pt idx="1">
                  <c:v>-120.41777178326494</c:v>
                </c:pt>
                <c:pt idx="2">
                  <c:v>-136.93468438201671</c:v>
                </c:pt>
                <c:pt idx="3">
                  <c:v>-153.64911057165588</c:v>
                </c:pt>
                <c:pt idx="4">
                  <c:v>-169.95523988903386</c:v>
                </c:pt>
                <c:pt idx="5">
                  <c:v>-184.71901989958698</c:v>
                </c:pt>
                <c:pt idx="6">
                  <c:v>-204.00506052011042</c:v>
                </c:pt>
                <c:pt idx="7">
                  <c:v>-205.13368370881298</c:v>
                </c:pt>
                <c:pt idx="8">
                  <c:v>-207.05595494185272</c:v>
                </c:pt>
                <c:pt idx="9">
                  <c:v>-208.79765702959429</c:v>
                </c:pt>
                <c:pt idx="10">
                  <c:v>-208.535629440767</c:v>
                </c:pt>
                <c:pt idx="11">
                  <c:v>-161.02703822643409</c:v>
                </c:pt>
                <c:pt idx="12">
                  <c:v>-142.94150639238987</c:v>
                </c:pt>
                <c:pt idx="13">
                  <c:v>-126.7334933093542</c:v>
                </c:pt>
                <c:pt idx="14">
                  <c:v>-114.79157304561214</c:v>
                </c:pt>
                <c:pt idx="15">
                  <c:v>-106.20726785624076</c:v>
                </c:pt>
                <c:pt idx="16">
                  <c:v>-93.941861314135522</c:v>
                </c:pt>
                <c:pt idx="17">
                  <c:v>-97.429159832689763</c:v>
                </c:pt>
                <c:pt idx="18">
                  <c:v>-106.55745882405002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3E-4D85-82BF-0FF4C0641EE2}"/>
            </c:ext>
          </c:extLst>
        </c:ser>
        <c:ser>
          <c:idx val="3"/>
          <c:order val="3"/>
          <c:tx>
            <c:strRef>
              <c:f>FLUID!$E$119</c:f>
              <c:strCache>
                <c:ptCount val="1"/>
                <c:pt idx="0">
                  <c:v>Раствор + газовая без Ar: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FLUID!$F$115:$AC$115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FLUID!$F$119:$AC$119</c:f>
              <c:numCache>
                <c:formatCode>0.00E+00</c:formatCode>
                <c:ptCount val="24"/>
                <c:pt idx="0">
                  <c:v>-60.345725656216956</c:v>
                </c:pt>
                <c:pt idx="1">
                  <c:v>-120.44616130864313</c:v>
                </c:pt>
                <c:pt idx="2">
                  <c:v>-137.0769498079417</c:v>
                </c:pt>
                <c:pt idx="3">
                  <c:v>-154.21492421467786</c:v>
                </c:pt>
                <c:pt idx="4">
                  <c:v>-171.81571523377457</c:v>
                </c:pt>
                <c:pt idx="5">
                  <c:v>-189.91096007018012</c:v>
                </c:pt>
                <c:pt idx="6">
                  <c:v>-267.49770465185719</c:v>
                </c:pt>
                <c:pt idx="7">
                  <c:v>-288.62975640753996</c:v>
                </c:pt>
                <c:pt idx="8">
                  <c:v>-310.33454051052735</c:v>
                </c:pt>
                <c:pt idx="9">
                  <c:v>-332.60091829327058</c:v>
                </c:pt>
                <c:pt idx="10">
                  <c:v>-355.30950260187956</c:v>
                </c:pt>
                <c:pt idx="11">
                  <c:v>-451.56067475357418</c:v>
                </c:pt>
                <c:pt idx="12">
                  <c:v>-477.72853419097896</c:v>
                </c:pt>
                <c:pt idx="13">
                  <c:v>-504.80619647477761</c:v>
                </c:pt>
                <c:pt idx="14">
                  <c:v>-532.59447340111444</c:v>
                </c:pt>
                <c:pt idx="15">
                  <c:v>-561.20024868851135</c:v>
                </c:pt>
                <c:pt idx="16">
                  <c:v>-681.64636546640099</c:v>
                </c:pt>
                <c:pt idx="17">
                  <c:v>-805.91761293595289</c:v>
                </c:pt>
                <c:pt idx="18">
                  <c:v>-932.92946396771265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3E-4D85-82BF-0FF4C0641EE2}"/>
            </c:ext>
          </c:extLst>
        </c:ser>
        <c:ser>
          <c:idx val="5"/>
          <c:order val="5"/>
          <c:tx>
            <c:strRef>
              <c:f>FLUID!$A$38</c:f>
              <c:strCache>
                <c:ptCount val="1"/>
                <c:pt idx="0">
                  <c:v>1,666666667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FLUID!$F$37:$AC$37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FLUID!$F$39:$AC$39</c:f>
              <c:numCache>
                <c:formatCode>0.0E+00</c:formatCode>
                <c:ptCount val="24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33E-4D85-82BF-0FF4C0641EE2}"/>
            </c:ext>
          </c:extLst>
        </c:ser>
        <c:ser>
          <c:idx val="6"/>
          <c:order val="6"/>
          <c:tx>
            <c:strRef>
              <c:f>FLUID!$E$121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3B-4D65-88DE-B2A538552FB6}"/>
              </c:ext>
            </c:extLst>
          </c:dPt>
          <c:xVal>
            <c:numRef>
              <c:f>FLUID!$F$121:$F$122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FLUID!$G$121:$G$122</c:f>
              <c:numCache>
                <c:formatCode>General</c:formatCode>
                <c:ptCount val="2"/>
                <c:pt idx="0">
                  <c:v>-10000000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F2-4490-83AC-992641085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95336"/>
        <c:axId val="519094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FLUID!$F$115:$AC$115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FLUID!$F$117:$AC$117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-9.1411694747642525E-7</c:v>
                      </c:pt>
                      <c:pt idx="1">
                        <c:v>-2.8389525378194894E-2</c:v>
                      </c:pt>
                      <c:pt idx="2">
                        <c:v>-0.14226542592498001</c:v>
                      </c:pt>
                      <c:pt idx="3">
                        <c:v>-0.56581364302199189</c:v>
                      </c:pt>
                      <c:pt idx="4">
                        <c:v>-1.860475344740709</c:v>
                      </c:pt>
                      <c:pt idx="5">
                        <c:v>-5.1919401705931376</c:v>
                      </c:pt>
                      <c:pt idx="6">
                        <c:v>-63.492644131746765</c:v>
                      </c:pt>
                      <c:pt idx="7">
                        <c:v>-83.496072698726948</c:v>
                      </c:pt>
                      <c:pt idx="8">
                        <c:v>-103.27858556867463</c:v>
                      </c:pt>
                      <c:pt idx="9">
                        <c:v>-123.8032612636763</c:v>
                      </c:pt>
                      <c:pt idx="10">
                        <c:v>-146.77387316111256</c:v>
                      </c:pt>
                      <c:pt idx="11">
                        <c:v>-290.53363652714012</c:v>
                      </c:pt>
                      <c:pt idx="12">
                        <c:v>-334.78702779858907</c:v>
                      </c:pt>
                      <c:pt idx="13">
                        <c:v>-378.07270316542338</c:v>
                      </c:pt>
                      <c:pt idx="14">
                        <c:v>-417.80290035550229</c:v>
                      </c:pt>
                      <c:pt idx="15">
                        <c:v>-454.99298083227058</c:v>
                      </c:pt>
                      <c:pt idx="16">
                        <c:v>-587.70450415226549</c:v>
                      </c:pt>
                      <c:pt idx="17">
                        <c:v>-708.48845310326317</c:v>
                      </c:pt>
                      <c:pt idx="18">
                        <c:v>-826.37200514366259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33E-4D85-82BF-0FF4C0641EE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FLUID!$F$115:$AC$115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FLUID!$F$118:$AC$118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-76.902224879116972</c:v>
                      </c:pt>
                      <c:pt idx="1">
                        <c:v>-112.25601391537823</c:v>
                      </c:pt>
                      <c:pt idx="2">
                        <c:v>-121.50393622342501</c:v>
                      </c:pt>
                      <c:pt idx="3">
                        <c:v>-131.12632851802204</c:v>
                      </c:pt>
                      <c:pt idx="4">
                        <c:v>-141.65834428974074</c:v>
                      </c:pt>
                      <c:pt idx="5">
                        <c:v>-154.47479671059315</c:v>
                      </c:pt>
                      <c:pt idx="6">
                        <c:v>-252.71059847174678</c:v>
                      </c:pt>
                      <c:pt idx="7">
                        <c:v>-282.87404117372699</c:v>
                      </c:pt>
                      <c:pt idx="8">
                        <c:v>-312.89101066867471</c:v>
                      </c:pt>
                      <c:pt idx="9">
                        <c:v>-343.55778275117638</c:v>
                      </c:pt>
                      <c:pt idx="10">
                        <c:v>-376.8691382986126</c:v>
                      </c:pt>
                      <c:pt idx="11">
                        <c:v>-563.82620739714025</c:v>
                      </c:pt>
                      <c:pt idx="12">
                        <c:v>-619.19237135858918</c:v>
                      </c:pt>
                      <c:pt idx="13">
                        <c:v>-673.81641951542338</c:v>
                      </c:pt>
                      <c:pt idx="14">
                        <c:v>-724.47159255550241</c:v>
                      </c:pt>
                      <c:pt idx="15">
                        <c:v>-772.52581445727071</c:v>
                      </c:pt>
                      <c:pt idx="16">
                        <c:v>-948.56710735226557</c:v>
                      </c:pt>
                      <c:pt idx="17">
                        <c:v>-1112.4406754032634</c:v>
                      </c:pt>
                      <c:pt idx="18">
                        <c:v>-1273.8999676436629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33E-4D85-82BF-0FF4C0641EE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FLUID!$E$120</c15:sqref>
                        </c15:formulaRef>
                      </c:ext>
                    </c:extLst>
                    <c:strCache>
                      <c:ptCount val="1"/>
                      <c:pt idx="0">
                        <c:v>Раствор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FLUID!$F$115:$AC$115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FLUID!$F$120:$AC$120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-137.24794962121697</c:v>
                      </c:pt>
                      <c:pt idx="1">
                        <c:v>-232.67378569864317</c:v>
                      </c:pt>
                      <c:pt idx="2">
                        <c:v>-258.43862060544171</c:v>
                      </c:pt>
                      <c:pt idx="3">
                        <c:v>-284.77543908967789</c:v>
                      </c:pt>
                      <c:pt idx="4">
                        <c:v>-311.6135841787746</c:v>
                      </c:pt>
                      <c:pt idx="5">
                        <c:v>-339.19381661018014</c:v>
                      </c:pt>
                      <c:pt idx="6">
                        <c:v>-456.7156589918572</c:v>
                      </c:pt>
                      <c:pt idx="7">
                        <c:v>-488.00772488253995</c:v>
                      </c:pt>
                      <c:pt idx="8">
                        <c:v>-519.9469656105274</c:v>
                      </c:pt>
                      <c:pt idx="9">
                        <c:v>-552.35543978077067</c:v>
                      </c:pt>
                      <c:pt idx="10">
                        <c:v>-585.40476773937962</c:v>
                      </c:pt>
                      <c:pt idx="11">
                        <c:v>-724.85324562357437</c:v>
                      </c:pt>
                      <c:pt idx="12">
                        <c:v>-762.13387775097908</c:v>
                      </c:pt>
                      <c:pt idx="13">
                        <c:v>-800.54991282477761</c:v>
                      </c:pt>
                      <c:pt idx="14">
                        <c:v>-839.26316560111457</c:v>
                      </c:pt>
                      <c:pt idx="15">
                        <c:v>-878.73308231351143</c:v>
                      </c:pt>
                      <c:pt idx="16">
                        <c:v>-1042.5089686664012</c:v>
                      </c:pt>
                      <c:pt idx="17">
                        <c:v>-1209.8698352359531</c:v>
                      </c:pt>
                      <c:pt idx="18">
                        <c:v>-1380.4574264677128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33E-4D85-82BF-0FF4C0641EE2}"/>
                  </c:ext>
                </c:extLst>
              </c15:ser>
            </c15:filteredScatterSeries>
          </c:ext>
        </c:extLst>
      </c:scatterChart>
      <c:valAx>
        <c:axId val="5190953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</a:t>
                </a:r>
                <a:r>
                  <a:rPr lang="ru-RU" baseline="0"/>
                  <a:t>К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4944"/>
        <c:crosses val="autoZero"/>
        <c:crossBetween val="midCat"/>
      </c:valAx>
      <c:valAx>
        <c:axId val="519094944"/>
        <c:scaling>
          <c:orientation val="minMax"/>
          <c:max val="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1332268927383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8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5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E-4D91-BE7D-77FCF35AE101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884-467B-B5F1-58A1B26AE59E}"/>
              </c:ext>
            </c:extLst>
          </c:dPt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093E-4D91-BE7D-77FCF35AE1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6602767162"/>
          <c:y val="8.2117375328083983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460</c:v>
                      </c:pt>
                      <c:pt idx="1">
                        <c:v>460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89-45A5-BD17-4BF5D2007501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1,666666667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1951595515326506E-2"/>
          <c:y val="0.16374376494249429"/>
          <c:w val="5.07964332875614E-2"/>
          <c:h val="0.167737691946826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SOLIDDIFER!$F$11:$AA$11</c:f>
              <c:numCache>
                <c:formatCode>0.00E+00</c:formatCode>
                <c:ptCount val="2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2.2433000000000002E-2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9"/>
          <c:order val="9"/>
          <c:tx>
            <c:strRef>
              <c:f>SOLIDDIFER!$E$13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SOLIDDIFER!$F$13:$AA$13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2.5350000000000001E-33</c:v>
                </c:pt>
                <c:pt idx="7">
                  <c:v>1.0517999999999999E-30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>
                  <c:v>6.5148999999999997E-8</c:v>
                </c:pt>
                <c:pt idx="20">
                  <c:v>1.2367E-7</c:v>
                </c:pt>
                <c:pt idx="21">
                  <c:v>2.2807999999999999E-7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68-490C-8D6D-76CC3C874F00}"/>
            </c:ext>
          </c:extLst>
        </c:ser>
        <c:ser>
          <c:idx val="10"/>
          <c:order val="10"/>
          <c:tx>
            <c:strRef>
              <c:f>SOLIDDIFER!$E$14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SOLIDDIFER!$F$14:$AA$14</c:f>
              <c:numCache>
                <c:formatCode>0.00E+00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SOLIDDIFER!$F$6:$AA$6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8.4004999999999997E-9</c:v>
                      </c:pt>
                      <c:pt idx="8">
                        <c:v>8.1328000000000001E-11</c:v>
                      </c:pt>
                      <c:pt idx="9">
                        <c:v>7.2548999999999998E-26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SOLIDDIFER!$F$7:$AA$7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0.15512999999999999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SOLIDDIFER!$F$8:$AA$8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SOLIDDIFER!$F$9:$AA$9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8.7129E-15</c:v>
                      </c:pt>
                      <c:pt idx="1">
                        <c:v>9.8545999999999994E-9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0.41270000000000001</c:v>
                      </c:pt>
                      <c:pt idx="8">
                        <c:v>0.47999000000000003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SOLIDDIFER!$F$10:$AA$10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3.7176000000000002E-10</c:v>
                      </c:pt>
                      <c:pt idx="3">
                        <c:v>3.6682999999999996E-12</c:v>
                      </c:pt>
                      <c:pt idx="4">
                        <c:v>2.1788000000000001E-17</c:v>
                      </c:pt>
                      <c:pt idx="5">
                        <c:v>1.974E-29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SOLIDDIFER!$F$116:$AJ$116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-3.3171549083295307E-20</c:v>
                </c:pt>
                <c:pt idx="9">
                  <c:v>-1.6782898676740513E-9</c:v>
                </c:pt>
                <c:pt idx="10">
                  <c:v>-1.4650493200802501E-8</c:v>
                </c:pt>
                <c:pt idx="11">
                  <c:v>-4.9749452873133752E-7</c:v>
                </c:pt>
                <c:pt idx="12">
                  <c:v>-9.028117463570371E-7</c:v>
                </c:pt>
                <c:pt idx="13">
                  <c:v>-1.7064805660882326E-6</c:v>
                </c:pt>
                <c:pt idx="14">
                  <c:v>-4.7226745938303771E-6</c:v>
                </c:pt>
                <c:pt idx="15">
                  <c:v>-1.2219353177076327E-5</c:v>
                </c:pt>
                <c:pt idx="16">
                  <c:v>-29.660554737641025</c:v>
                </c:pt>
                <c:pt idx="17">
                  <c:v>-36.276196758000005</c:v>
                </c:pt>
                <c:pt idx="18">
                  <c:v>-37.976478750000005</c:v>
                </c:pt>
                <c:pt idx="19">
                  <c:v>-39.663964726500012</c:v>
                </c:pt>
                <c:pt idx="20">
                  <c:v>-41.391780185250006</c:v>
                </c:pt>
                <c:pt idx="21">
                  <c:v>-43.096132125000004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SOLIDDIFER!$F$120:$AJ$120</c:f>
              <c:numCache>
                <c:formatCode>0</c:formatCode>
                <c:ptCount val="31"/>
                <c:pt idx="0">
                  <c:v>-387.7136573625001</c:v>
                </c:pt>
                <c:pt idx="1">
                  <c:v>-393.01924374375011</c:v>
                </c:pt>
                <c:pt idx="2">
                  <c:v>-398.83946303124998</c:v>
                </c:pt>
                <c:pt idx="3">
                  <c:v>-404.93388067125011</c:v>
                </c:pt>
                <c:pt idx="4">
                  <c:v>-411.2819390625001</c:v>
                </c:pt>
                <c:pt idx="5">
                  <c:v>-417.86956591375014</c:v>
                </c:pt>
                <c:pt idx="6">
                  <c:v>-424.80523080625011</c:v>
                </c:pt>
                <c:pt idx="7">
                  <c:v>-97.82702426331339</c:v>
                </c:pt>
                <c:pt idx="8">
                  <c:v>-9.7697728422550829E-3</c:v>
                </c:pt>
                <c:pt idx="9">
                  <c:v>-1.6782903890278557E-9</c:v>
                </c:pt>
                <c:pt idx="10">
                  <c:v>-1.4650497946491081E-8</c:v>
                </c:pt>
                <c:pt idx="11">
                  <c:v>-4.9750483815399808E-7</c:v>
                </c:pt>
                <c:pt idx="12">
                  <c:v>-9.0286302781587314E-7</c:v>
                </c:pt>
                <c:pt idx="13">
                  <c:v>-1.7067109849655364E-6</c:v>
                </c:pt>
                <c:pt idx="14">
                  <c:v>-4.7236178262223547E-6</c:v>
                </c:pt>
                <c:pt idx="15">
                  <c:v>-1.2222902165830208E-5</c:v>
                </c:pt>
                <c:pt idx="16">
                  <c:v>-29.660555071575246</c:v>
                </c:pt>
                <c:pt idx="17">
                  <c:v>-36.276206917124725</c:v>
                </c:pt>
                <c:pt idx="18">
                  <c:v>-37.976500335197585</c:v>
                </c:pt>
                <c:pt idx="19">
                  <c:v>-39.664009002392234</c:v>
                </c:pt>
                <c:pt idx="20">
                  <c:v>-41.391868194522623</c:v>
                </c:pt>
                <c:pt idx="21">
                  <c:v>-43.096301736436054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SOLIDDIFER!$F$117:$AJ$117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SOLIDDIFER!$F$118:$AJ$118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-466.31012699250016</c:v>
                      </c:pt>
                      <c:pt idx="1">
                        <c:v>-480.43852033125012</c:v>
                      </c:pt>
                      <c:pt idx="2">
                        <c:v>-495.21829238625003</c:v>
                      </c:pt>
                      <c:pt idx="3">
                        <c:v>-510.41042206875011</c:v>
                      </c:pt>
                      <c:pt idx="4">
                        <c:v>-525.9622993800001</c:v>
                      </c:pt>
                      <c:pt idx="5">
                        <c:v>-541.80928601125026</c:v>
                      </c:pt>
                      <c:pt idx="6">
                        <c:v>-558.1289311812501</c:v>
                      </c:pt>
                      <c:pt idx="7">
                        <c:v>-238.3618350583134</c:v>
                      </c:pt>
                      <c:pt idx="8">
                        <c:v>-149.05765854284232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-265.26242677001039</c:v>
                      </c:pt>
                      <c:pt idx="12">
                        <c:v>-275.26671032005135</c:v>
                      </c:pt>
                      <c:pt idx="13">
                        <c:v>-285.43706215023053</c:v>
                      </c:pt>
                      <c:pt idx="14">
                        <c:v>-295.44190000094335</c:v>
                      </c:pt>
                      <c:pt idx="15">
                        <c:v>-305.34931962854904</c:v>
                      </c:pt>
                      <c:pt idx="16">
                        <c:v>-346.16838768393433</c:v>
                      </c:pt>
                      <c:pt idx="17">
                        <c:v>-387.29440885912487</c:v>
                      </c:pt>
                      <c:pt idx="18">
                        <c:v>-397.90427658519769</c:v>
                      </c:pt>
                      <c:pt idx="19">
                        <c:v>-408.27636087589241</c:v>
                      </c:pt>
                      <c:pt idx="20">
                        <c:v>-418.77650950927284</c:v>
                      </c:pt>
                      <c:pt idx="21">
                        <c:v>-429.23623211143621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1"/>
          <c:order val="11"/>
          <c:tx>
            <c:strRef>
              <c:f>SOLIDDIFER!$E$15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SOLIDDIFER!$F$15:$AA$15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2.0058000000000001E-22</c:v>
                </c:pt>
                <c:pt idx="9">
                  <c:v>7.6130999999999995E-12</c:v>
                </c:pt>
                <c:pt idx="10">
                  <c:v>5.2134000000000001E-11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6AC8-483E-8904-9DB1BFFE345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8-483E-8904-9DB1BFFE34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SOLIDDIFER!$F$4:$AA$4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5.4464E-24</c:v>
                </c:pt>
                <c:pt idx="9">
                  <c:v>2.7126E-13</c:v>
                </c:pt>
                <c:pt idx="10">
                  <c:v>4.3304999999999999E-11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A-4667-908C-460F30F537E8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SOLIDDIFER!$F$5:$AA$5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A-4667-908C-460F30F537E8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A-4667-908C-460F30F537E8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A-4667-908C-460F30F537E8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8A-4667-908C-460F30F537E8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8A-4667-908C-460F30F537E8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8A-4667-908C-460F30F537E8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8A-4667-908C-460F30F5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28A-4667-908C-460F30F537E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28A-4667-908C-460F30F537E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28A-4667-908C-460F30F537E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28A-4667-908C-460F30F537E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28A-4667-908C-460F30F537E8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7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Ar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412794868196451"/>
          <c:y val="8.1560372972111023E-2"/>
          <c:w val="0.80796301000749926"/>
          <c:h val="0.7448796728079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Answ2!$A$3:$B$3</c:f>
              <c:strCache>
                <c:ptCount val="2"/>
                <c:pt idx="0">
                  <c:v>Fluid</c:v>
                </c:pt>
                <c:pt idx="1">
                  <c:v>H(Аг)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Answ2!$C$3:$BK$3</c:f>
              <c:numCache>
                <c:formatCode>General</c:formatCode>
                <c:ptCount val="61"/>
                <c:pt idx="0">
                  <c:v>-6.2407779693603516</c:v>
                </c:pt>
                <c:pt idx="1">
                  <c:v>-7.6969594955444336</c:v>
                </c:pt>
                <c:pt idx="2">
                  <c:v>-9.1531410217285156</c:v>
                </c:pt>
                <c:pt idx="3">
                  <c:v>-10.609322547912598</c:v>
                </c:pt>
                <c:pt idx="4">
                  <c:v>-12.06550407409668</c:v>
                </c:pt>
                <c:pt idx="5">
                  <c:v>-13.521685600280762</c:v>
                </c:pt>
                <c:pt idx="6">
                  <c:v>-14.977867126464844</c:v>
                </c:pt>
                <c:pt idx="7">
                  <c:v>-16.434049606323242</c:v>
                </c:pt>
                <c:pt idx="8">
                  <c:v>-17.890230178833008</c:v>
                </c:pt>
                <c:pt idx="9">
                  <c:v>-18.623258590698242</c:v>
                </c:pt>
                <c:pt idx="10">
                  <c:v>-18.649477005004883</c:v>
                </c:pt>
                <c:pt idx="11">
                  <c:v>-18.675693511962891</c:v>
                </c:pt>
                <c:pt idx="12">
                  <c:v>-18.701910018920898</c:v>
                </c:pt>
                <c:pt idx="13">
                  <c:v>-18.728128433227539</c:v>
                </c:pt>
                <c:pt idx="14">
                  <c:v>-18.754344940185547</c:v>
                </c:pt>
                <c:pt idx="15">
                  <c:v>-18.79835319519043</c:v>
                </c:pt>
                <c:pt idx="16">
                  <c:v>-18.847255706787109</c:v>
                </c:pt>
                <c:pt idx="17">
                  <c:v>-18.896158218383789</c:v>
                </c:pt>
                <c:pt idx="18">
                  <c:v>-18.945194244384766</c:v>
                </c:pt>
                <c:pt idx="19">
                  <c:v>-19.001077651977539</c:v>
                </c:pt>
                <c:pt idx="20">
                  <c:v>-19.065269470214844</c:v>
                </c:pt>
                <c:pt idx="21">
                  <c:v>-19.149101257324219</c:v>
                </c:pt>
                <c:pt idx="22">
                  <c:v>-19.232934951782227</c:v>
                </c:pt>
                <c:pt idx="23">
                  <c:v>-19.316766738891602</c:v>
                </c:pt>
                <c:pt idx="24">
                  <c:v>-19.400598526000977</c:v>
                </c:pt>
                <c:pt idx="25">
                  <c:v>-19.484432220458984</c:v>
                </c:pt>
                <c:pt idx="26">
                  <c:v>-19.565908432006836</c:v>
                </c:pt>
                <c:pt idx="27">
                  <c:v>-19.642753601074219</c:v>
                </c:pt>
                <c:pt idx="28">
                  <c:v>-19.719810485839844</c:v>
                </c:pt>
                <c:pt idx="29">
                  <c:v>-19.790090560913086</c:v>
                </c:pt>
                <c:pt idx="30">
                  <c:v>-19.853294372558594</c:v>
                </c:pt>
                <c:pt idx="31">
                  <c:v>-19.923154830932617</c:v>
                </c:pt>
                <c:pt idx="32">
                  <c:v>-20.000579833984375</c:v>
                </c:pt>
                <c:pt idx="33">
                  <c:v>-20.082727432250977</c:v>
                </c:pt>
                <c:pt idx="34">
                  <c:v>-20.164875030517578</c:v>
                </c:pt>
                <c:pt idx="35">
                  <c:v>-20.247020721435547</c:v>
                </c:pt>
                <c:pt idx="36">
                  <c:v>-20.329168319702148</c:v>
                </c:pt>
                <c:pt idx="37">
                  <c:v>-20.41131591796875</c:v>
                </c:pt>
                <c:pt idx="38">
                  <c:v>-20.494970321655273</c:v>
                </c:pt>
                <c:pt idx="39">
                  <c:v>-20.578344345092773</c:v>
                </c:pt>
                <c:pt idx="40">
                  <c:v>-20.6610107421875</c:v>
                </c:pt>
                <c:pt idx="41">
                  <c:v>-20.731718063354492</c:v>
                </c:pt>
                <c:pt idx="42">
                  <c:v>-20.798181533813477</c:v>
                </c:pt>
                <c:pt idx="43">
                  <c:v>-20.858732223510742</c:v>
                </c:pt>
                <c:pt idx="44">
                  <c:v>-20.905746459960938</c:v>
                </c:pt>
                <c:pt idx="45">
                  <c:v>-20.952762603759766</c:v>
                </c:pt>
                <c:pt idx="46">
                  <c:v>-20.999776840209961</c:v>
                </c:pt>
                <c:pt idx="47">
                  <c:v>-21.046791076660156</c:v>
                </c:pt>
                <c:pt idx="48">
                  <c:v>-21.093807220458984</c:v>
                </c:pt>
                <c:pt idx="49">
                  <c:v>-21.137094497680664</c:v>
                </c:pt>
                <c:pt idx="50">
                  <c:v>-21.175689697265625</c:v>
                </c:pt>
                <c:pt idx="51">
                  <c:v>-21.214286804199219</c:v>
                </c:pt>
                <c:pt idx="52">
                  <c:v>-21.25288200378418</c:v>
                </c:pt>
                <c:pt idx="53">
                  <c:v>-21.291479110717773</c:v>
                </c:pt>
                <c:pt idx="54">
                  <c:v>-21.330076217651367</c:v>
                </c:pt>
                <c:pt idx="55">
                  <c:v>-21.364578247070313</c:v>
                </c:pt>
                <c:pt idx="56">
                  <c:v>-21.397661209106445</c:v>
                </c:pt>
                <c:pt idx="57">
                  <c:v>-21.430746078491211</c:v>
                </c:pt>
                <c:pt idx="58">
                  <c:v>-21.463830947875977</c:v>
                </c:pt>
                <c:pt idx="59">
                  <c:v>-21.496915817260742</c:v>
                </c:pt>
                <c:pt idx="60">
                  <c:v>-21.530000686645508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6C-4BD0-B1E6-7BDC34DDB979}"/>
            </c:ext>
          </c:extLst>
        </c:ser>
        <c:ser>
          <c:idx val="4"/>
          <c:order val="4"/>
          <c:tx>
            <c:strRef>
              <c:f>Answ2!$A$7:$B$7</c:f>
              <c:strCache>
                <c:ptCount val="2"/>
                <c:pt idx="0">
                  <c:v>Solid</c:v>
                </c:pt>
                <c:pt idx="1">
                  <c:v>H(Ar)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Answ2!$C$7:$BK$7</c:f>
              <c:numCache>
                <c:formatCode>General</c:formatCode>
                <c:ptCount val="61"/>
                <c:pt idx="0">
                  <c:v>-6.3782696723937988</c:v>
                </c:pt>
                <c:pt idx="1">
                  <c:v>-7.8665323257446289</c:v>
                </c:pt>
                <c:pt idx="2">
                  <c:v>-9.3547954559326172</c:v>
                </c:pt>
                <c:pt idx="3">
                  <c:v>-10.843058586120605</c:v>
                </c:pt>
                <c:pt idx="4">
                  <c:v>-12.331320762634277</c:v>
                </c:pt>
                <c:pt idx="5">
                  <c:v>-13.819583892822266</c:v>
                </c:pt>
                <c:pt idx="6">
                  <c:v>-15.307847023010254</c:v>
                </c:pt>
                <c:pt idx="7">
                  <c:v>-16.796110153198242</c:v>
                </c:pt>
                <c:pt idx="8">
                  <c:v>-18.284372329711914</c:v>
                </c:pt>
                <c:pt idx="9">
                  <c:v>-19.023544311523438</c:v>
                </c:pt>
                <c:pt idx="10">
                  <c:v>-19.031646728515625</c:v>
                </c:pt>
                <c:pt idx="11">
                  <c:v>-19.052604675292969</c:v>
                </c:pt>
                <c:pt idx="12">
                  <c:v>-19.082605361938477</c:v>
                </c:pt>
                <c:pt idx="13">
                  <c:v>-19.119043350219727</c:v>
                </c:pt>
                <c:pt idx="14">
                  <c:v>-19.160957336425781</c:v>
                </c:pt>
                <c:pt idx="15">
                  <c:v>-19.202873229980469</c:v>
                </c:pt>
                <c:pt idx="16">
                  <c:v>-19.247255325317383</c:v>
                </c:pt>
                <c:pt idx="17">
                  <c:v>-19.296157836914063</c:v>
                </c:pt>
                <c:pt idx="18">
                  <c:v>-19.151500701904297</c:v>
                </c:pt>
                <c:pt idx="19">
                  <c:v>-19.056188583374023</c:v>
                </c:pt>
                <c:pt idx="20">
                  <c:v>-19.033075332641602</c:v>
                </c:pt>
                <c:pt idx="21">
                  <c:v>-19.081975936889648</c:v>
                </c:pt>
                <c:pt idx="22">
                  <c:v>-19.130878448486328</c:v>
                </c:pt>
                <c:pt idx="23">
                  <c:v>-19.179780960083008</c:v>
                </c:pt>
                <c:pt idx="24">
                  <c:v>-19.228681564331055</c:v>
                </c:pt>
                <c:pt idx="25">
                  <c:v>-19.277584075927734</c:v>
                </c:pt>
                <c:pt idx="26">
                  <c:v>-19.325321197509766</c:v>
                </c:pt>
                <c:pt idx="27">
                  <c:v>-19.370763778686523</c:v>
                </c:pt>
                <c:pt idx="28">
                  <c:v>-19.416206359863281</c:v>
                </c:pt>
                <c:pt idx="29">
                  <c:v>-19.461650848388672</c:v>
                </c:pt>
                <c:pt idx="30">
                  <c:v>-19.50709342956543</c:v>
                </c:pt>
                <c:pt idx="31">
                  <c:v>-19.552536010742188</c:v>
                </c:pt>
                <c:pt idx="32">
                  <c:v>-19.596902847290039</c:v>
                </c:pt>
                <c:pt idx="33">
                  <c:v>-19.640598297119141</c:v>
                </c:pt>
                <c:pt idx="34">
                  <c:v>-19.684293746948242</c:v>
                </c:pt>
                <c:pt idx="35">
                  <c:v>-19.727989196777344</c:v>
                </c:pt>
                <c:pt idx="36">
                  <c:v>-19.771684646606445</c:v>
                </c:pt>
                <c:pt idx="37">
                  <c:v>-19.815380096435547</c:v>
                </c:pt>
                <c:pt idx="38">
                  <c:v>-19.857484817504883</c:v>
                </c:pt>
                <c:pt idx="39">
                  <c:v>-19.899171829223633</c:v>
                </c:pt>
                <c:pt idx="40">
                  <c:v>-19.940607070922852</c:v>
                </c:pt>
                <c:pt idx="41">
                  <c:v>-19.983030319213867</c:v>
                </c:pt>
                <c:pt idx="42">
                  <c:v>-20.021211624145508</c:v>
                </c:pt>
                <c:pt idx="43">
                  <c:v>-20.056791305541992</c:v>
                </c:pt>
                <c:pt idx="44">
                  <c:v>-20.093357086181641</c:v>
                </c:pt>
                <c:pt idx="45">
                  <c:v>-20.129924774169922</c:v>
                </c:pt>
                <c:pt idx="46">
                  <c:v>-20.166492462158203</c:v>
                </c:pt>
                <c:pt idx="47">
                  <c:v>-20.203060150146484</c:v>
                </c:pt>
                <c:pt idx="48">
                  <c:v>-20.239627838134766</c:v>
                </c:pt>
                <c:pt idx="49">
                  <c:v>-20.275539398193359</c:v>
                </c:pt>
                <c:pt idx="50">
                  <c:v>-20.310626983642578</c:v>
                </c:pt>
                <c:pt idx="51">
                  <c:v>-20.345714569091797</c:v>
                </c:pt>
                <c:pt idx="52">
                  <c:v>-20.380802154541016</c:v>
                </c:pt>
                <c:pt idx="53">
                  <c:v>-20.415889739990234</c:v>
                </c:pt>
                <c:pt idx="54">
                  <c:v>-20.450977325439453</c:v>
                </c:pt>
                <c:pt idx="55">
                  <c:v>-20.485490798950195</c:v>
                </c:pt>
                <c:pt idx="56">
                  <c:v>-20.520101547241211</c:v>
                </c:pt>
                <c:pt idx="57">
                  <c:v>-20.555454254150391</c:v>
                </c:pt>
                <c:pt idx="58">
                  <c:v>-20.583921432495117</c:v>
                </c:pt>
                <c:pt idx="59">
                  <c:v>-20.614646911621094</c:v>
                </c:pt>
                <c:pt idx="60">
                  <c:v>-20.649999618530273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6C-4BD0-B1E6-7BDC34DDB979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E36C-4BD0-B1E6-7BDC34DDB979}"/>
              </c:ext>
            </c:extLst>
          </c:dPt>
          <c:xVal>
            <c:numRef>
              <c:f>Answ2!$A$1:$A$2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Answ2!$B$1:$B$2</c:f>
              <c:numCache>
                <c:formatCode>General</c:formatCode>
                <c:ptCount val="2"/>
                <c:pt idx="0">
                  <c:v>-200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36C-4BD0-B1E6-7BDC34DDB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Answ2!$A$4:$B$4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Answ2!$C$4:$BK$4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-2.0945672988891602</c:v>
                      </c:pt>
                      <c:pt idx="1">
                        <c:v>-2.5832996368408203</c:v>
                      </c:pt>
                      <c:pt idx="2">
                        <c:v>-3.0720319747924805</c:v>
                      </c:pt>
                      <c:pt idx="3">
                        <c:v>-3.5607643127441406</c:v>
                      </c:pt>
                      <c:pt idx="4">
                        <c:v>-4.0494966506958008</c:v>
                      </c:pt>
                      <c:pt idx="5">
                        <c:v>-4.5382289886474609</c:v>
                      </c:pt>
                      <c:pt idx="6">
                        <c:v>-5.0269613265991211</c:v>
                      </c:pt>
                      <c:pt idx="7">
                        <c:v>-5.5156941413879395</c:v>
                      </c:pt>
                      <c:pt idx="8">
                        <c:v>-6.0044260025024414</c:v>
                      </c:pt>
                      <c:pt idx="9">
                        <c:v>-6.3257269859313965</c:v>
                      </c:pt>
                      <c:pt idx="10">
                        <c:v>-6.4833798408508301</c:v>
                      </c:pt>
                      <c:pt idx="11">
                        <c:v>-6.6410326957702637</c:v>
                      </c:pt>
                      <c:pt idx="12">
                        <c:v>-6.7986860275268555</c:v>
                      </c:pt>
                      <c:pt idx="13">
                        <c:v>-6.9563388824462891</c:v>
                      </c:pt>
                      <c:pt idx="14">
                        <c:v>-7.1139917373657227</c:v>
                      </c:pt>
                      <c:pt idx="15">
                        <c:v>-7.2553892135620117</c:v>
                      </c:pt>
                      <c:pt idx="16">
                        <c:v>-7.3900966644287109</c:v>
                      </c:pt>
                      <c:pt idx="17">
                        <c:v>-7.5207357406616211</c:v>
                      </c:pt>
                      <c:pt idx="18">
                        <c:v>-7.650444507598877</c:v>
                      </c:pt>
                      <c:pt idx="19">
                        <c:v>-7.781954288482666</c:v>
                      </c:pt>
                      <c:pt idx="20">
                        <c:v>-7.9187793731689453</c:v>
                      </c:pt>
                      <c:pt idx="21">
                        <c:v>-8.1061792373657227</c:v>
                      </c:pt>
                      <c:pt idx="22">
                        <c:v>-8.2935791015625</c:v>
                      </c:pt>
                      <c:pt idx="23">
                        <c:v>-8.4809799194335938</c:v>
                      </c:pt>
                      <c:pt idx="24">
                        <c:v>-8.6683797836303711</c:v>
                      </c:pt>
                      <c:pt idx="25">
                        <c:v>-8.8557796478271484</c:v>
                      </c:pt>
                      <c:pt idx="26">
                        <c:v>-9.0593729019165039</c:v>
                      </c:pt>
                      <c:pt idx="27">
                        <c:v>-9.2948026657104492</c:v>
                      </c:pt>
                      <c:pt idx="28">
                        <c:v>-9.5264291763305664</c:v>
                      </c:pt>
                      <c:pt idx="29">
                        <c:v>-9.7526493072509766</c:v>
                      </c:pt>
                      <c:pt idx="30">
                        <c:v>-9.9727811813354492</c:v>
                      </c:pt>
                      <c:pt idx="31">
                        <c:v>-10.180266380310059</c:v>
                      </c:pt>
                      <c:pt idx="32">
                        <c:v>-10.369768142700195</c:v>
                      </c:pt>
                      <c:pt idx="33">
                        <c:v>-10.54804515838623</c:v>
                      </c:pt>
                      <c:pt idx="34">
                        <c:v>-10.726322174072266</c:v>
                      </c:pt>
                      <c:pt idx="35">
                        <c:v>-10.904599189758301</c:v>
                      </c:pt>
                      <c:pt idx="36">
                        <c:v>-11.082876205444336</c:v>
                      </c:pt>
                      <c:pt idx="37">
                        <c:v>-11.261153221130371</c:v>
                      </c:pt>
                      <c:pt idx="38">
                        <c:v>-11.411197662353516</c:v>
                      </c:pt>
                      <c:pt idx="39">
                        <c:v>-11.544319152832031</c:v>
                      </c:pt>
                      <c:pt idx="40">
                        <c:v>-11.661515235900879</c:v>
                      </c:pt>
                      <c:pt idx="41">
                        <c:v>-11.767576217651367</c:v>
                      </c:pt>
                      <c:pt idx="42">
                        <c:v>-11.865151405334473</c:v>
                      </c:pt>
                      <c:pt idx="43">
                        <c:v>-11.952935218811035</c:v>
                      </c:pt>
                      <c:pt idx="44">
                        <c:v>-12.022586822509766</c:v>
                      </c:pt>
                      <c:pt idx="45">
                        <c:v>-12.092238426208496</c:v>
                      </c:pt>
                      <c:pt idx="46">
                        <c:v>-12.161890983581543</c:v>
                      </c:pt>
                      <c:pt idx="47">
                        <c:v>-12.231542587280273</c:v>
                      </c:pt>
                      <c:pt idx="48">
                        <c:v>-12.301194190979004</c:v>
                      </c:pt>
                      <c:pt idx="49">
                        <c:v>-12.36408519744873</c:v>
                      </c:pt>
                      <c:pt idx="50">
                        <c:v>-12.418471336364746</c:v>
                      </c:pt>
                      <c:pt idx="51">
                        <c:v>-12.472857475280762</c:v>
                      </c:pt>
                      <c:pt idx="52">
                        <c:v>-12.527242660522461</c:v>
                      </c:pt>
                      <c:pt idx="53">
                        <c:v>-12.581628799438477</c:v>
                      </c:pt>
                      <c:pt idx="54">
                        <c:v>-12.636014938354492</c:v>
                      </c:pt>
                      <c:pt idx="55">
                        <c:v>-12.684925079345703</c:v>
                      </c:pt>
                      <c:pt idx="56">
                        <c:v>-12.731940269470215</c:v>
                      </c:pt>
                      <c:pt idx="57">
                        <c:v>-12.778955459594727</c:v>
                      </c:pt>
                      <c:pt idx="58">
                        <c:v>-12.825969696044922</c:v>
                      </c:pt>
                      <c:pt idx="59">
                        <c:v>-12.872984886169434</c:v>
                      </c:pt>
                      <c:pt idx="60">
                        <c:v>-12.920000076293945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E36C-4BD0-B1E6-7BDC34DDB97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Answ2!$A$5:$B$5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Answ2!$C$5:$BK$5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1.7997987270355225</c:v>
                      </c:pt>
                      <c:pt idx="1">
                        <c:v>2.2197518348693848</c:v>
                      </c:pt>
                      <c:pt idx="2">
                        <c:v>2.6397049427032471</c:v>
                      </c:pt>
                      <c:pt idx="3">
                        <c:v>3.0596578121185303</c:v>
                      </c:pt>
                      <c:pt idx="4">
                        <c:v>3.4796109199523926</c:v>
                      </c:pt>
                      <c:pt idx="5">
                        <c:v>3.8995640277862549</c:v>
                      </c:pt>
                      <c:pt idx="6">
                        <c:v>4.3195171356201172</c:v>
                      </c:pt>
                      <c:pt idx="7">
                        <c:v>4.7394700050354004</c:v>
                      </c:pt>
                      <c:pt idx="8">
                        <c:v>5.1594228744506836</c:v>
                      </c:pt>
                      <c:pt idx="9">
                        <c:v>4.9577217102050781</c:v>
                      </c:pt>
                      <c:pt idx="10">
                        <c:v>4.1484131813049316</c:v>
                      </c:pt>
                      <c:pt idx="11">
                        <c:v>3.3391053676605225</c:v>
                      </c:pt>
                      <c:pt idx="12">
                        <c:v>2.5297966003417969</c:v>
                      </c:pt>
                      <c:pt idx="13">
                        <c:v>1.7204878330230713</c:v>
                      </c:pt>
                      <c:pt idx="14">
                        <c:v>0.91118013858795166</c:v>
                      </c:pt>
                      <c:pt idx="15">
                        <c:v>0.3026929497718811</c:v>
                      </c:pt>
                      <c:pt idx="16">
                        <c:v>-0.22795909643173218</c:v>
                      </c:pt>
                      <c:pt idx="17">
                        <c:v>-0.71716231107711792</c:v>
                      </c:pt>
                      <c:pt idx="18">
                        <c:v>-1.1574499607086182</c:v>
                      </c:pt>
                      <c:pt idx="19">
                        <c:v>-1.5686105489730835</c:v>
                      </c:pt>
                      <c:pt idx="20">
                        <c:v>-1.9477295875549316</c:v>
                      </c:pt>
                      <c:pt idx="21">
                        <c:v>-2.229790210723877</c:v>
                      </c:pt>
                      <c:pt idx="22">
                        <c:v>-2.5118510723114014</c:v>
                      </c:pt>
                      <c:pt idx="23">
                        <c:v>-2.793912410736084</c:v>
                      </c:pt>
                      <c:pt idx="24">
                        <c:v>-3.0759732723236084</c:v>
                      </c:pt>
                      <c:pt idx="25">
                        <c:v>-3.3580338954925537</c:v>
                      </c:pt>
                      <c:pt idx="26">
                        <c:v>-3.6187207698822021</c:v>
                      </c:pt>
                      <c:pt idx="27">
                        <c:v>-3.8373832702636719</c:v>
                      </c:pt>
                      <c:pt idx="28">
                        <c:v>-4.0445823669433594</c:v>
                      </c:pt>
                      <c:pt idx="29">
                        <c:v>-4.2426037788391113</c:v>
                      </c:pt>
                      <c:pt idx="30">
                        <c:v>-4.4310684204101563</c:v>
                      </c:pt>
                      <c:pt idx="31">
                        <c:v>-4.602226734161377</c:v>
                      </c:pt>
                      <c:pt idx="32">
                        <c:v>-4.7326774597167969</c:v>
                      </c:pt>
                      <c:pt idx="33">
                        <c:v>-4.8377208709716797</c:v>
                      </c:pt>
                      <c:pt idx="34">
                        <c:v>-4.9427642822265625</c:v>
                      </c:pt>
                      <c:pt idx="35">
                        <c:v>-5.0478081703186035</c:v>
                      </c:pt>
                      <c:pt idx="36">
                        <c:v>-5.1528520584106445</c:v>
                      </c:pt>
                      <c:pt idx="37">
                        <c:v>-5.2578954696655273</c:v>
                      </c:pt>
                      <c:pt idx="38">
                        <c:v>-5.3164811134338379</c:v>
                      </c:pt>
                      <c:pt idx="39">
                        <c:v>-5.3667278289794922</c:v>
                      </c:pt>
                      <c:pt idx="40">
                        <c:v>-5.413818359375</c:v>
                      </c:pt>
                      <c:pt idx="41">
                        <c:v>-5.4710907936096191</c:v>
                      </c:pt>
                      <c:pt idx="42">
                        <c:v>-5.5338788032531738</c:v>
                      </c:pt>
                      <c:pt idx="43">
                        <c:v>-5.6030049324035645</c:v>
                      </c:pt>
                      <c:pt idx="44">
                        <c:v>-5.6838006973266602</c:v>
                      </c:pt>
                      <c:pt idx="45">
                        <c:v>-5.7645969390869141</c:v>
                      </c:pt>
                      <c:pt idx="46">
                        <c:v>-5.845393180847168</c:v>
                      </c:pt>
                      <c:pt idx="47">
                        <c:v>-5.9261889457702637</c:v>
                      </c:pt>
                      <c:pt idx="48">
                        <c:v>-6.0069851875305176</c:v>
                      </c:pt>
                      <c:pt idx="49">
                        <c:v>-6.0910801887512207</c:v>
                      </c:pt>
                      <c:pt idx="50">
                        <c:v>-6.1793255805969238</c:v>
                      </c:pt>
                      <c:pt idx="51">
                        <c:v>-6.2675714492797852</c:v>
                      </c:pt>
                      <c:pt idx="52">
                        <c:v>-6.3558173179626465</c:v>
                      </c:pt>
                      <c:pt idx="53">
                        <c:v>-6.4440622329711914</c:v>
                      </c:pt>
                      <c:pt idx="54">
                        <c:v>-6.5323081016540527</c:v>
                      </c:pt>
                      <c:pt idx="55">
                        <c:v>-6.616572380065918</c:v>
                      </c:pt>
                      <c:pt idx="56">
                        <c:v>-6.6994576454162598</c:v>
                      </c:pt>
                      <c:pt idx="57">
                        <c:v>-6.7823433876037598</c:v>
                      </c:pt>
                      <c:pt idx="58">
                        <c:v>-6.8652291297912598</c:v>
                      </c:pt>
                      <c:pt idx="59">
                        <c:v>-6.9481143951416016</c:v>
                      </c:pt>
                      <c:pt idx="60">
                        <c:v>-7.0310001373291016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36C-4BD0-B1E6-7BDC34DDB97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Answ2!$A$6:$B$6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Answ2!$C$6:$BK$6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-1.6177061796188354</c:v>
                      </c:pt>
                      <c:pt idx="1">
                        <c:v>-1.9951709508895874</c:v>
                      </c:pt>
                      <c:pt idx="2">
                        <c:v>-2.3726358413696289</c:v>
                      </c:pt>
                      <c:pt idx="3">
                        <c:v>-2.7501003742218018</c:v>
                      </c:pt>
                      <c:pt idx="4">
                        <c:v>-3.1275651454925537</c:v>
                      </c:pt>
                      <c:pt idx="5">
                        <c:v>-3.5050299167633057</c:v>
                      </c:pt>
                      <c:pt idx="6">
                        <c:v>-3.8824946880340576</c:v>
                      </c:pt>
                      <c:pt idx="7">
                        <c:v>-4.2599596977233887</c:v>
                      </c:pt>
                      <c:pt idx="8">
                        <c:v>-4.6374239921569824</c:v>
                      </c:pt>
                      <c:pt idx="9">
                        <c:v>-4.8921480178833008</c:v>
                      </c:pt>
                      <c:pt idx="10">
                        <c:v>-5.0269045829772949</c:v>
                      </c:pt>
                      <c:pt idx="11">
                        <c:v>-5.1616611480712891</c:v>
                      </c:pt>
                      <c:pt idx="12">
                        <c:v>-5.2964177131652832</c:v>
                      </c:pt>
                      <c:pt idx="13">
                        <c:v>-5.4311742782592773</c:v>
                      </c:pt>
                      <c:pt idx="14">
                        <c:v>-5.5659308433532715</c:v>
                      </c:pt>
                      <c:pt idx="15">
                        <c:v>-5.7007455825805664</c:v>
                      </c:pt>
                      <c:pt idx="16">
                        <c:v>-5.8340969085693359</c:v>
                      </c:pt>
                      <c:pt idx="17">
                        <c:v>-5.9647355079650879</c:v>
                      </c:pt>
                      <c:pt idx="18">
                        <c:v>-6.0912165641784668</c:v>
                      </c:pt>
                      <c:pt idx="19">
                        <c:v>-6.214047908782959</c:v>
                      </c:pt>
                      <c:pt idx="20">
                        <c:v>-6.3321042060852051</c:v>
                      </c:pt>
                      <c:pt idx="21">
                        <c:v>-6.4292097091674805</c:v>
                      </c:pt>
                      <c:pt idx="22">
                        <c:v>-6.5263152122497559</c:v>
                      </c:pt>
                      <c:pt idx="23">
                        <c:v>-6.6234211921691895</c:v>
                      </c:pt>
                      <c:pt idx="24">
                        <c:v>-6.720527172088623</c:v>
                      </c:pt>
                      <c:pt idx="25">
                        <c:v>-6.8176326751708984</c:v>
                      </c:pt>
                      <c:pt idx="26">
                        <c:v>-6.9112057685852051</c:v>
                      </c:pt>
                      <c:pt idx="27">
                        <c:v>-6.9978322982788086</c:v>
                      </c:pt>
                      <c:pt idx="28">
                        <c:v>-7.0859637260437012</c:v>
                      </c:pt>
                      <c:pt idx="29">
                        <c:v>-7.1751289367675781</c:v>
                      </c:pt>
                      <c:pt idx="30">
                        <c:v>-7.2653803825378418</c:v>
                      </c:pt>
                      <c:pt idx="31">
                        <c:v>-7.3582944869995117</c:v>
                      </c:pt>
                      <c:pt idx="32">
                        <c:v>-7.4636273384094238</c:v>
                      </c:pt>
                      <c:pt idx="33">
                        <c:v>-7.5767111778259277</c:v>
                      </c:pt>
                      <c:pt idx="34">
                        <c:v>-7.6897945404052734</c:v>
                      </c:pt>
                      <c:pt idx="35">
                        <c:v>-7.8028783798217773</c:v>
                      </c:pt>
                      <c:pt idx="36">
                        <c:v>-7.9159622192382813</c:v>
                      </c:pt>
                      <c:pt idx="37">
                        <c:v>-8.0290460586547852</c:v>
                      </c:pt>
                      <c:pt idx="38">
                        <c:v>-8.1728229522705078</c:v>
                      </c:pt>
                      <c:pt idx="39">
                        <c:v>-8.3254909515380859</c:v>
                      </c:pt>
                      <c:pt idx="40">
                        <c:v>-8.4844856262207031</c:v>
                      </c:pt>
                      <c:pt idx="41">
                        <c:v>-8.6584234237670898</c:v>
                      </c:pt>
                      <c:pt idx="42">
                        <c:v>-8.8357572555541992</c:v>
                      </c:pt>
                      <c:pt idx="43">
                        <c:v>-9.0138864517211914</c:v>
                      </c:pt>
                      <c:pt idx="44">
                        <c:v>-9.185577392578125</c:v>
                      </c:pt>
                      <c:pt idx="45">
                        <c:v>-9.357269287109375</c:v>
                      </c:pt>
                      <c:pt idx="46">
                        <c:v>-9.528961181640625</c:v>
                      </c:pt>
                      <c:pt idx="47">
                        <c:v>-9.7006521224975586</c:v>
                      </c:pt>
                      <c:pt idx="48">
                        <c:v>-9.8723440170288086</c:v>
                      </c:pt>
                      <c:pt idx="49">
                        <c:v>-10.03497314453125</c:v>
                      </c:pt>
                      <c:pt idx="50">
                        <c:v>-10.186200141906738</c:v>
                      </c:pt>
                      <c:pt idx="51">
                        <c:v>-10.337429046630859</c:v>
                      </c:pt>
                      <c:pt idx="52">
                        <c:v>-10.488656997680664</c:v>
                      </c:pt>
                      <c:pt idx="53">
                        <c:v>-10.639884948730469</c:v>
                      </c:pt>
                      <c:pt idx="54">
                        <c:v>-10.791112899780273</c:v>
                      </c:pt>
                      <c:pt idx="55">
                        <c:v>-10.92442798614502</c:v>
                      </c:pt>
                      <c:pt idx="56">
                        <c:v>-11.051542282104492</c:v>
                      </c:pt>
                      <c:pt idx="57">
                        <c:v>-11.178656578063965</c:v>
                      </c:pt>
                      <c:pt idx="58">
                        <c:v>-11.305771827697754</c:v>
                      </c:pt>
                      <c:pt idx="59">
                        <c:v>-11.432886123657227</c:v>
                      </c:pt>
                      <c:pt idx="60">
                        <c:v>-11.560000419616699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36C-4BD0-B1E6-7BDC34DDB97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Answ2!$A$8:$B$8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Answ2!$C$8:$BK$8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-20.452716827392578</c:v>
                      </c:pt>
                      <c:pt idx="1">
                        <c:v>-25.225017547607422</c:v>
                      </c:pt>
                      <c:pt idx="2">
                        <c:v>-29.997318267822266</c:v>
                      </c:pt>
                      <c:pt idx="3">
                        <c:v>-34.769618988037109</c:v>
                      </c:pt>
                      <c:pt idx="4">
                        <c:v>-39.541915893554688</c:v>
                      </c:pt>
                      <c:pt idx="5">
                        <c:v>-44.314220428466797</c:v>
                      </c:pt>
                      <c:pt idx="6">
                        <c:v>-49.086517333984375</c:v>
                      </c:pt>
                      <c:pt idx="7">
                        <c:v>-53.858821868896484</c:v>
                      </c:pt>
                      <c:pt idx="8">
                        <c:v>-58.631118774414063</c:v>
                      </c:pt>
                      <c:pt idx="9">
                        <c:v>-59.005619049072266</c:v>
                      </c:pt>
                      <c:pt idx="10">
                        <c:v>-55.034858703613281</c:v>
                      </c:pt>
                      <c:pt idx="11">
                        <c:v>-50.514900207519531</c:v>
                      </c:pt>
                      <c:pt idx="12">
                        <c:v>-46.089878082275391</c:v>
                      </c:pt>
                      <c:pt idx="13">
                        <c:v>-41.849239349365234</c:v>
                      </c:pt>
                      <c:pt idx="14">
                        <c:v>-38.09075927734375</c:v>
                      </c:pt>
                      <c:pt idx="15">
                        <c:v>-34.715808868408203</c:v>
                      </c:pt>
                      <c:pt idx="16">
                        <c:v>-31.584388732910156</c:v>
                      </c:pt>
                      <c:pt idx="17">
                        <c:v>-28.706148147583008</c:v>
                      </c:pt>
                      <c:pt idx="18">
                        <c:v>-26.497867584228516</c:v>
                      </c:pt>
                      <c:pt idx="19">
                        <c:v>-25.865806579589844</c:v>
                      </c:pt>
                      <c:pt idx="20">
                        <c:v>-26.785438537597656</c:v>
                      </c:pt>
                      <c:pt idx="21">
                        <c:v>-27.667425155639648</c:v>
                      </c:pt>
                      <c:pt idx="22">
                        <c:v>-28.549409866333008</c:v>
                      </c:pt>
                      <c:pt idx="23">
                        <c:v>-29.431398391723633</c:v>
                      </c:pt>
                      <c:pt idx="24">
                        <c:v>-30.313383102416992</c:v>
                      </c:pt>
                      <c:pt idx="25">
                        <c:v>-31.195369720458984</c:v>
                      </c:pt>
                      <c:pt idx="26">
                        <c:v>-32.045169830322266</c:v>
                      </c:pt>
                      <c:pt idx="27">
                        <c:v>-32.831687927246094</c:v>
                      </c:pt>
                      <c:pt idx="28">
                        <c:v>-33.618202209472656</c:v>
                      </c:pt>
                      <c:pt idx="29">
                        <c:v>-34.404720306396484</c:v>
                      </c:pt>
                      <c:pt idx="30">
                        <c:v>-35.191234588623047</c:v>
                      </c:pt>
                      <c:pt idx="31">
                        <c:v>-35.977752685546875</c:v>
                      </c:pt>
                      <c:pt idx="32">
                        <c:v>-36.685710906982422</c:v>
                      </c:pt>
                      <c:pt idx="33">
                        <c:v>-37.344635009765625</c:v>
                      </c:pt>
                      <c:pt idx="34">
                        <c:v>-38.003562927246094</c:v>
                      </c:pt>
                      <c:pt idx="35">
                        <c:v>-38.662490844726563</c:v>
                      </c:pt>
                      <c:pt idx="36">
                        <c:v>-39.321414947509766</c:v>
                      </c:pt>
                      <c:pt idx="37">
                        <c:v>-39.980342864990234</c:v>
                      </c:pt>
                      <c:pt idx="38">
                        <c:v>-40.556049346923828</c:v>
                      </c:pt>
                      <c:pt idx="39">
                        <c:v>-41.099643707275391</c:v>
                      </c:pt>
                      <c:pt idx="40">
                        <c:v>-41.617073059082031</c:v>
                      </c:pt>
                      <c:pt idx="41">
                        <c:v>-42.112022399902344</c:v>
                      </c:pt>
                      <c:pt idx="42">
                        <c:v>-42.577274322509766</c:v>
                      </c:pt>
                      <c:pt idx="43">
                        <c:v>-43.002090454101563</c:v>
                      </c:pt>
                      <c:pt idx="44">
                        <c:v>-43.336418151855469</c:v>
                      </c:pt>
                      <c:pt idx="45">
                        <c:v>-43.670745849609375</c:v>
                      </c:pt>
                      <c:pt idx="46">
                        <c:v>-44.005073547363281</c:v>
                      </c:pt>
                      <c:pt idx="47">
                        <c:v>-44.339401245117188</c:v>
                      </c:pt>
                      <c:pt idx="48">
                        <c:v>-44.673732757568359</c:v>
                      </c:pt>
                      <c:pt idx="49">
                        <c:v>-44.92681884765625</c:v>
                      </c:pt>
                      <c:pt idx="50">
                        <c:v>-45.077693939208984</c:v>
                      </c:pt>
                      <c:pt idx="51">
                        <c:v>-45.228572845458984</c:v>
                      </c:pt>
                      <c:pt idx="52">
                        <c:v>-45.379451751708984</c:v>
                      </c:pt>
                      <c:pt idx="53">
                        <c:v>-45.530326843261719</c:v>
                      </c:pt>
                      <c:pt idx="54">
                        <c:v>-45.681205749511719</c:v>
                      </c:pt>
                      <c:pt idx="55">
                        <c:v>-45.740390777587891</c:v>
                      </c:pt>
                      <c:pt idx="56">
                        <c:v>-45.755958557128906</c:v>
                      </c:pt>
                      <c:pt idx="57">
                        <c:v>-45.7418212890625</c:v>
                      </c:pt>
                      <c:pt idx="58">
                        <c:v>-45.680194854736328</c:v>
                      </c:pt>
                      <c:pt idx="59">
                        <c:v>-45.590202331542969</c:v>
                      </c:pt>
                      <c:pt idx="6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36C-4BD0-B1E6-7BDC34DDB97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Answ2!$A$9:$B$9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Answ2!$C$9:$BK$9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-5.1475520133972168</c:v>
                      </c:pt>
                      <c:pt idx="1">
                        <c:v>-6.3486475944519043</c:v>
                      </c:pt>
                      <c:pt idx="2">
                        <c:v>-7.5497431755065918</c:v>
                      </c:pt>
                      <c:pt idx="3">
                        <c:v>-8.7508382797241211</c:v>
                      </c:pt>
                      <c:pt idx="4">
                        <c:v>-9.9519338607788086</c:v>
                      </c:pt>
                      <c:pt idx="5">
                        <c:v>-11.153029441833496</c:v>
                      </c:pt>
                      <c:pt idx="6">
                        <c:v>-12.354125022888184</c:v>
                      </c:pt>
                      <c:pt idx="7">
                        <c:v>-13.555220603942871</c:v>
                      </c:pt>
                      <c:pt idx="8">
                        <c:v>-14.756315231323242</c:v>
                      </c:pt>
                      <c:pt idx="9">
                        <c:v>-14.999189376831055</c:v>
                      </c:pt>
                      <c:pt idx="10">
                        <c:v>-14.246925354003906</c:v>
                      </c:pt>
                      <c:pt idx="11">
                        <c:v>-12.807805061340332</c:v>
                      </c:pt>
                      <c:pt idx="12">
                        <c:v>-11.264699935913086</c:v>
                      </c:pt>
                      <c:pt idx="13">
                        <c:v>-9.7102594375610352</c:v>
                      </c:pt>
                      <c:pt idx="14">
                        <c:v>-8.3207406997680664</c:v>
                      </c:pt>
                      <c:pt idx="15">
                        <c:v>-7.0670995712280273</c:v>
                      </c:pt>
                      <c:pt idx="16">
                        <c:v>-5.8993930816650391</c:v>
                      </c:pt>
                      <c:pt idx="17">
                        <c:v>-4.8207511901855469</c:v>
                      </c:pt>
                      <c:pt idx="18">
                        <c:v>-4.3518404960632324</c:v>
                      </c:pt>
                      <c:pt idx="19">
                        <c:v>-4.1693153381347656</c:v>
                      </c:pt>
                      <c:pt idx="20">
                        <c:v>-4.2266230583190918</c:v>
                      </c:pt>
                      <c:pt idx="21">
                        <c:v>-4.2842574119567871</c:v>
                      </c:pt>
                      <c:pt idx="22">
                        <c:v>-4.3418922424316406</c:v>
                      </c:pt>
                      <c:pt idx="23">
                        <c:v>-4.3995270729064941</c:v>
                      </c:pt>
                      <c:pt idx="24">
                        <c:v>-4.4571619033813477</c:v>
                      </c:pt>
                      <c:pt idx="25">
                        <c:v>-4.514796257019043</c:v>
                      </c:pt>
                      <c:pt idx="26">
                        <c:v>-4.5718564987182617</c:v>
                      </c:pt>
                      <c:pt idx="27">
                        <c:v>-4.6277866363525391</c:v>
                      </c:pt>
                      <c:pt idx="28">
                        <c:v>-4.6837167739868164</c:v>
                      </c:pt>
                      <c:pt idx="29">
                        <c:v>-4.7396469116210938</c:v>
                      </c:pt>
                      <c:pt idx="30">
                        <c:v>-4.7955770492553711</c:v>
                      </c:pt>
                      <c:pt idx="31">
                        <c:v>-4.8515071868896484</c:v>
                      </c:pt>
                      <c:pt idx="32">
                        <c:v>-4.9054999351501465</c:v>
                      </c:pt>
                      <c:pt idx="33">
                        <c:v>-4.9582839012145996</c:v>
                      </c:pt>
                      <c:pt idx="34">
                        <c:v>-5.0110678672790527</c:v>
                      </c:pt>
                      <c:pt idx="35">
                        <c:v>-5.0638523101806641</c:v>
                      </c:pt>
                      <c:pt idx="36">
                        <c:v>-5.1166362762451172</c:v>
                      </c:pt>
                      <c:pt idx="37">
                        <c:v>-5.1694202423095703</c:v>
                      </c:pt>
                      <c:pt idx="38">
                        <c:v>-5.2199821472167969</c:v>
                      </c:pt>
                      <c:pt idx="39">
                        <c:v>-5.2696866989135742</c:v>
                      </c:pt>
                      <c:pt idx="40">
                        <c:v>-5.3187170028686523</c:v>
                      </c:pt>
                      <c:pt idx="41">
                        <c:v>-5.3689188957214355</c:v>
                      </c:pt>
                      <c:pt idx="42">
                        <c:v>-5.4182729721069336</c:v>
                      </c:pt>
                      <c:pt idx="43">
                        <c:v>-5.4686393737792969</c:v>
                      </c:pt>
                      <c:pt idx="44">
                        <c:v>-5.5259280204772949</c:v>
                      </c:pt>
                      <c:pt idx="45">
                        <c:v>-5.583216667175293</c:v>
                      </c:pt>
                      <c:pt idx="46">
                        <c:v>-5.640505313873291</c:v>
                      </c:pt>
                      <c:pt idx="47">
                        <c:v>-5.6977934837341309</c:v>
                      </c:pt>
                      <c:pt idx="48">
                        <c:v>-5.7550821304321289</c:v>
                      </c:pt>
                      <c:pt idx="49">
                        <c:v>-5.8336944580078125</c:v>
                      </c:pt>
                      <c:pt idx="50">
                        <c:v>-5.9391326904296875</c:v>
                      </c:pt>
                      <c:pt idx="51">
                        <c:v>-6.0445713996887207</c:v>
                      </c:pt>
                      <c:pt idx="52">
                        <c:v>-6.1500101089477539</c:v>
                      </c:pt>
                      <c:pt idx="53">
                        <c:v>-6.2554483413696289</c:v>
                      </c:pt>
                      <c:pt idx="54">
                        <c:v>-6.3608870506286621</c:v>
                      </c:pt>
                      <c:pt idx="55">
                        <c:v>-6.4578433036804199</c:v>
                      </c:pt>
                      <c:pt idx="56">
                        <c:v>-6.5518684387207031</c:v>
                      </c:pt>
                      <c:pt idx="57">
                        <c:v>-6.645909309387207</c:v>
                      </c:pt>
                      <c:pt idx="58">
                        <c:v>-6.7351474761962891</c:v>
                      </c:pt>
                      <c:pt idx="59">
                        <c:v>-6.8233232498168945</c:v>
                      </c:pt>
                      <c:pt idx="6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36C-4BD0-B1E6-7BDC34DDB97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Answ2!$A$10:$B$10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Answ2!$C$10:$BK$10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-7.3407106399536133</c:v>
                      </c:pt>
                      <c:pt idx="1">
                        <c:v>-9.0535430908203125</c:v>
                      </c:pt>
                      <c:pt idx="2">
                        <c:v>-10.766375541687012</c:v>
                      </c:pt>
                      <c:pt idx="3">
                        <c:v>-12.479207992553711</c:v>
                      </c:pt>
                      <c:pt idx="4">
                        <c:v>-14.192039489746094</c:v>
                      </c:pt>
                      <c:pt idx="5">
                        <c:v>-15.904872894287109</c:v>
                      </c:pt>
                      <c:pt idx="6">
                        <c:v>-17.617704391479492</c:v>
                      </c:pt>
                      <c:pt idx="7">
                        <c:v>-19.330537796020508</c:v>
                      </c:pt>
                      <c:pt idx="8">
                        <c:v>-21.043369293212891</c:v>
                      </c:pt>
                      <c:pt idx="9">
                        <c:v>-21.259248733520508</c:v>
                      </c:pt>
                      <c:pt idx="10">
                        <c:v>-20.102315902709961</c:v>
                      </c:pt>
                      <c:pt idx="11">
                        <c:v>-20.004510879516602</c:v>
                      </c:pt>
                      <c:pt idx="12">
                        <c:v>-20.196046829223633</c:v>
                      </c:pt>
                      <c:pt idx="13">
                        <c:v>-20.546855926513672</c:v>
                      </c:pt>
                      <c:pt idx="14">
                        <c:v>-20.903142929077148</c:v>
                      </c:pt>
                      <c:pt idx="15">
                        <c:v>-21.259429931640625</c:v>
                      </c:pt>
                      <c:pt idx="16">
                        <c:v>-21.618183135986328</c:v>
                      </c:pt>
                      <c:pt idx="17">
                        <c:v>-21.981456756591797</c:v>
                      </c:pt>
                      <c:pt idx="18">
                        <c:v>-22.332822799682617</c:v>
                      </c:pt>
                      <c:pt idx="19">
                        <c:v>-22.686107635498047</c:v>
                      </c:pt>
                      <c:pt idx="20">
                        <c:v>-23.041297912597656</c:v>
                      </c:pt>
                      <c:pt idx="21">
                        <c:v>-23.380119323730469</c:v>
                      </c:pt>
                      <c:pt idx="22">
                        <c:v>-23.718942642211914</c:v>
                      </c:pt>
                      <c:pt idx="23">
                        <c:v>-24.057764053344727</c:v>
                      </c:pt>
                      <c:pt idx="24">
                        <c:v>-24.396585464477539</c:v>
                      </c:pt>
                      <c:pt idx="25">
                        <c:v>-24.735408782958984</c:v>
                      </c:pt>
                      <c:pt idx="26">
                        <c:v>-25.066656112670898</c:v>
                      </c:pt>
                      <c:pt idx="27">
                        <c:v>-25.383010864257813</c:v>
                      </c:pt>
                      <c:pt idx="28">
                        <c:v>-25.699365615844727</c:v>
                      </c:pt>
                      <c:pt idx="29">
                        <c:v>-26.015720367431641</c:v>
                      </c:pt>
                      <c:pt idx="30">
                        <c:v>-26.332075119018555</c:v>
                      </c:pt>
                      <c:pt idx="31">
                        <c:v>-26.648429870605469</c:v>
                      </c:pt>
                      <c:pt idx="32">
                        <c:v>-26.955099105834961</c:v>
                      </c:pt>
                      <c:pt idx="33">
                        <c:v>-27.25572395324707</c:v>
                      </c:pt>
                      <c:pt idx="34">
                        <c:v>-27.556346893310547</c:v>
                      </c:pt>
                      <c:pt idx="35">
                        <c:v>-27.856971740722656</c:v>
                      </c:pt>
                      <c:pt idx="36">
                        <c:v>-28.157594680786133</c:v>
                      </c:pt>
                      <c:pt idx="37">
                        <c:v>-28.458219528198242</c:v>
                      </c:pt>
                      <c:pt idx="38">
                        <c:v>-28.746147155761719</c:v>
                      </c:pt>
                      <c:pt idx="39">
                        <c:v>-29.031005859375</c:v>
                      </c:pt>
                      <c:pt idx="40">
                        <c:v>-29.314142227172852</c:v>
                      </c:pt>
                      <c:pt idx="41">
                        <c:v>-29.604040145874023</c:v>
                      </c:pt>
                      <c:pt idx="42">
                        <c:v>-29.88969612121582</c:v>
                      </c:pt>
                      <c:pt idx="43">
                        <c:v>-30.170772552490234</c:v>
                      </c:pt>
                      <c:pt idx="44">
                        <c:v>-30.444154739379883</c:v>
                      </c:pt>
                      <c:pt idx="45">
                        <c:v>-30.717538833618164</c:v>
                      </c:pt>
                      <c:pt idx="46">
                        <c:v>-30.990921020507813</c:v>
                      </c:pt>
                      <c:pt idx="47">
                        <c:v>-31.264303207397461</c:v>
                      </c:pt>
                      <c:pt idx="48">
                        <c:v>-31.537687301635742</c:v>
                      </c:pt>
                      <c:pt idx="49">
                        <c:v>-31.808874130249023</c:v>
                      </c:pt>
                      <c:pt idx="50">
                        <c:v>-32.077293395996094</c:v>
                      </c:pt>
                      <c:pt idx="51">
                        <c:v>-32.345714569091797</c:v>
                      </c:pt>
                      <c:pt idx="52">
                        <c:v>-32.6141357421875</c:v>
                      </c:pt>
                      <c:pt idx="53">
                        <c:v>-32.882556915283203</c:v>
                      </c:pt>
                      <c:pt idx="54">
                        <c:v>-33.150978088378906</c:v>
                      </c:pt>
                      <c:pt idx="55">
                        <c:v>-33.40863037109375</c:v>
                      </c:pt>
                      <c:pt idx="56">
                        <c:v>-33.666767120361328</c:v>
                      </c:pt>
                      <c:pt idx="57">
                        <c:v>-33.935455322265625</c:v>
                      </c:pt>
                      <c:pt idx="58">
                        <c:v>-34.191276550292969</c:v>
                      </c:pt>
                      <c:pt idx="59">
                        <c:v>-34.448383331298828</c:v>
                      </c:pt>
                      <c:pt idx="6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36C-4BD0-B1E6-7BDC34DDB97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Answ2!$A$11:$B$11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Answ2!$C$11:$BK$11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-6.3313207626342773</c:v>
                      </c:pt>
                      <c:pt idx="1">
                        <c:v>-7.808629035949707</c:v>
                      </c:pt>
                      <c:pt idx="2">
                        <c:v>-9.2859373092651367</c:v>
                      </c:pt>
                      <c:pt idx="3">
                        <c:v>-10.763245582580566</c:v>
                      </c:pt>
                      <c:pt idx="4">
                        <c:v>-12.24055290222168</c:v>
                      </c:pt>
                      <c:pt idx="5">
                        <c:v>-13.717862129211426</c:v>
                      </c:pt>
                      <c:pt idx="6">
                        <c:v>-15.195169448852539</c:v>
                      </c:pt>
                      <c:pt idx="7">
                        <c:v>-16.672477722167969</c:v>
                      </c:pt>
                      <c:pt idx="8">
                        <c:v>-18.149785995483398</c:v>
                      </c:pt>
                      <c:pt idx="9">
                        <c:v>-18.876455307006836</c:v>
                      </c:pt>
                      <c:pt idx="10">
                        <c:v>-18.871646881103516</c:v>
                      </c:pt>
                      <c:pt idx="11">
                        <c:v>-18.892604827880859</c:v>
                      </c:pt>
                      <c:pt idx="12">
                        <c:v>-18.918083190917969</c:v>
                      </c:pt>
                      <c:pt idx="13">
                        <c:v>-18.947534561157227</c:v>
                      </c:pt>
                      <c:pt idx="14">
                        <c:v>-18.982465744018555</c:v>
                      </c:pt>
                      <c:pt idx="15">
                        <c:v>-19.01739501953125</c:v>
                      </c:pt>
                      <c:pt idx="16">
                        <c:v>-19.047395706176758</c:v>
                      </c:pt>
                      <c:pt idx="17">
                        <c:v>-19.068353652954102</c:v>
                      </c:pt>
                      <c:pt idx="18">
                        <c:v>-18.998977661132813</c:v>
                      </c:pt>
                      <c:pt idx="19">
                        <c:v>-18.984170913696289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-19.85603141784668</c:v>
                      </c:pt>
                      <c:pt idx="39">
                        <c:v>-19.896320343017578</c:v>
                      </c:pt>
                      <c:pt idx="40">
                        <c:v>-19.936611175537109</c:v>
                      </c:pt>
                      <c:pt idx="41">
                        <c:v>-19.976902008056641</c:v>
                      </c:pt>
                      <c:pt idx="42">
                        <c:v>-20.017190933227539</c:v>
                      </c:pt>
                      <c:pt idx="43">
                        <c:v>-20.057645797729492</c:v>
                      </c:pt>
                      <c:pt idx="44">
                        <c:v>-20.098823547363281</c:v>
                      </c:pt>
                      <c:pt idx="45">
                        <c:v>-20.135757446289063</c:v>
                      </c:pt>
                      <c:pt idx="46">
                        <c:v>-20.170783996582031</c:v>
                      </c:pt>
                      <c:pt idx="47">
                        <c:v>-20.205097198486328</c:v>
                      </c:pt>
                      <c:pt idx="48">
                        <c:v>-20.240303039550781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-20.484577178955078</c:v>
                      </c:pt>
                      <c:pt idx="56">
                        <c:v>-20.517660140991211</c:v>
                      </c:pt>
                      <c:pt idx="57">
                        <c:v>-20.550745010375977</c:v>
                      </c:pt>
                      <c:pt idx="58">
                        <c:v>-20.583829879760742</c:v>
                      </c:pt>
                      <c:pt idx="59">
                        <c:v>-20.616914749145508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36C-4BD0-B1E6-7BDC34DDB97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Answ2!$A$12:$B$12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Answ2!$C$12:$BK$12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-20.385646820068359</c:v>
                      </c:pt>
                      <c:pt idx="1">
                        <c:v>-25.142297744750977</c:v>
                      </c:pt>
                      <c:pt idx="2">
                        <c:v>-29.898948669433594</c:v>
                      </c:pt>
                      <c:pt idx="3">
                        <c:v>-34.655597686767578</c:v>
                      </c:pt>
                      <c:pt idx="4">
                        <c:v>-39.412250518798828</c:v>
                      </c:pt>
                      <c:pt idx="5">
                        <c:v>-44.168903350830078</c:v>
                      </c:pt>
                      <c:pt idx="6">
                        <c:v>-48.925552368164063</c:v>
                      </c:pt>
                      <c:pt idx="7">
                        <c:v>-53.682205200195313</c:v>
                      </c:pt>
                      <c:pt idx="8">
                        <c:v>-58.438850402832031</c:v>
                      </c:pt>
                      <c:pt idx="9">
                        <c:v>-58.320152282714844</c:v>
                      </c:pt>
                      <c:pt idx="10">
                        <c:v>-53.446193695068359</c:v>
                      </c:pt>
                      <c:pt idx="11">
                        <c:v>-48.688713073730469</c:v>
                      </c:pt>
                      <c:pt idx="12">
                        <c:v>-44.247692108154297</c:v>
                      </c:pt>
                      <c:pt idx="13">
                        <c:v>-40.117874145507813</c:v>
                      </c:pt>
                      <c:pt idx="14">
                        <c:v>-36.49212646484375</c:v>
                      </c:pt>
                      <c:pt idx="15">
                        <c:v>-33.343055725097656</c:v>
                      </c:pt>
                      <c:pt idx="16">
                        <c:v>-30.470527648925781</c:v>
                      </c:pt>
                      <c:pt idx="17">
                        <c:v>-27.864742279052734</c:v>
                      </c:pt>
                      <c:pt idx="18">
                        <c:v>-27.098289489746094</c:v>
                      </c:pt>
                      <c:pt idx="19">
                        <c:v>-27.245807647705078</c:v>
                      </c:pt>
                      <c:pt idx="20">
                        <c:v>-28.167087554931641</c:v>
                      </c:pt>
                      <c:pt idx="21">
                        <c:v>-29.07526969909668</c:v>
                      </c:pt>
                      <c:pt idx="22">
                        <c:v>-29.974630355834961</c:v>
                      </c:pt>
                      <c:pt idx="23">
                        <c:v>-30.864652633666992</c:v>
                      </c:pt>
                      <c:pt idx="24">
                        <c:v>-31.737903594970703</c:v>
                      </c:pt>
                      <c:pt idx="25">
                        <c:v>-32.595050811767578</c:v>
                      </c:pt>
                      <c:pt idx="26">
                        <c:v>-33.425758361816406</c:v>
                      </c:pt>
                      <c:pt idx="27">
                        <c:v>-34.214023590087891</c:v>
                      </c:pt>
                      <c:pt idx="28">
                        <c:v>-35.002285003662109</c:v>
                      </c:pt>
                      <c:pt idx="29">
                        <c:v>-35.790550231933594</c:v>
                      </c:pt>
                      <c:pt idx="30">
                        <c:v>-36.578815460205078</c:v>
                      </c:pt>
                      <c:pt idx="31">
                        <c:v>-37.367080688476563</c:v>
                      </c:pt>
                      <c:pt idx="32">
                        <c:v>-38.074634552001953</c:v>
                      </c:pt>
                      <c:pt idx="33">
                        <c:v>-38.7318115234375</c:v>
                      </c:pt>
                      <c:pt idx="34">
                        <c:v>-39.388988494873047</c:v>
                      </c:pt>
                      <c:pt idx="35">
                        <c:v>-40.046169281005859</c:v>
                      </c:pt>
                      <c:pt idx="36">
                        <c:v>-40.703350067138672</c:v>
                      </c:pt>
                      <c:pt idx="37">
                        <c:v>-41.360527038574219</c:v>
                      </c:pt>
                      <c:pt idx="38">
                        <c:v>-41.884304046630859</c:v>
                      </c:pt>
                      <c:pt idx="39">
                        <c:v>-42.392314910888672</c:v>
                      </c:pt>
                      <c:pt idx="40">
                        <c:v>-42.900321960449219</c:v>
                      </c:pt>
                      <c:pt idx="41">
                        <c:v>-43.408329010009766</c:v>
                      </c:pt>
                      <c:pt idx="42">
                        <c:v>-43.916339874267578</c:v>
                      </c:pt>
                      <c:pt idx="43">
                        <c:v>-44.40264892578125</c:v>
                      </c:pt>
                      <c:pt idx="44">
                        <c:v>-44.7938232421875</c:v>
                      </c:pt>
                      <c:pt idx="45">
                        <c:v>-45.167877197265625</c:v>
                      </c:pt>
                      <c:pt idx="46">
                        <c:v>-45.514900207519531</c:v>
                      </c:pt>
                      <c:pt idx="47">
                        <c:v>-45.816864013671875</c:v>
                      </c:pt>
                      <c:pt idx="48">
                        <c:v>-46.096363067626953</c:v>
                      </c:pt>
                      <c:pt idx="49">
                        <c:v>-46.316818237304688</c:v>
                      </c:pt>
                      <c:pt idx="50">
                        <c:v>-46.467693328857422</c:v>
                      </c:pt>
                      <c:pt idx="51">
                        <c:v>-46.618572235107422</c:v>
                      </c:pt>
                      <c:pt idx="52">
                        <c:v>-46.769451141357422</c:v>
                      </c:pt>
                      <c:pt idx="53">
                        <c:v>-46.920326232910156</c:v>
                      </c:pt>
                      <c:pt idx="54">
                        <c:v>-47.071205139160156</c:v>
                      </c:pt>
                      <c:pt idx="55">
                        <c:v>-47.076370239257813</c:v>
                      </c:pt>
                      <c:pt idx="56">
                        <c:v>-47.031093597412109</c:v>
                      </c:pt>
                      <c:pt idx="57">
                        <c:v>-46.985820770263672</c:v>
                      </c:pt>
                      <c:pt idx="58">
                        <c:v>-46.940547943115234</c:v>
                      </c:pt>
                      <c:pt idx="59">
                        <c:v>-46.895271301269531</c:v>
                      </c:pt>
                      <c:pt idx="6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36C-4BD0-B1E6-7BDC34DDB97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Answ2!$A$13:$B$13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Answ2!$C$13:$BK$13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-5.3655261993408203</c:v>
                      </c:pt>
                      <c:pt idx="1">
                        <c:v>-6.6174826622009277</c:v>
                      </c:pt>
                      <c:pt idx="2">
                        <c:v>-7.869438648223877</c:v>
                      </c:pt>
                      <c:pt idx="3">
                        <c:v>-9.1213951110839844</c:v>
                      </c:pt>
                      <c:pt idx="4">
                        <c:v>-10.373350143432617</c:v>
                      </c:pt>
                      <c:pt idx="5">
                        <c:v>-11.625307083129883</c:v>
                      </c:pt>
                      <c:pt idx="6">
                        <c:v>-12.877263069152832</c:v>
                      </c:pt>
                      <c:pt idx="7">
                        <c:v>-14.129220008850098</c:v>
                      </c:pt>
                      <c:pt idx="8">
                        <c:v>-15.38117504119873</c:v>
                      </c:pt>
                      <c:pt idx="9">
                        <c:v>-15.262943267822266</c:v>
                      </c:pt>
                      <c:pt idx="10">
                        <c:v>-13.789361000061035</c:v>
                      </c:pt>
                      <c:pt idx="11">
                        <c:v>-12.126687049865723</c:v>
                      </c:pt>
                      <c:pt idx="12">
                        <c:v>-10.548101425170898</c:v>
                      </c:pt>
                      <c:pt idx="13">
                        <c:v>-9.0846872329711914</c:v>
                      </c:pt>
                      <c:pt idx="14">
                        <c:v>-7.8733124732971191</c:v>
                      </c:pt>
                      <c:pt idx="15">
                        <c:v>-7.0317697525024414</c:v>
                      </c:pt>
                      <c:pt idx="16">
                        <c:v>-6.4600667953491211</c:v>
                      </c:pt>
                      <c:pt idx="17">
                        <c:v>-6.1966938972473145</c:v>
                      </c:pt>
                      <c:pt idx="18">
                        <c:v>-6.6001896858215332</c:v>
                      </c:pt>
                      <c:pt idx="19">
                        <c:v>-6.8364529609680176</c:v>
                      </c:pt>
                      <c:pt idx="20">
                        <c:v>-6.8456788063049316</c:v>
                      </c:pt>
                      <c:pt idx="21">
                        <c:v>-6.8882932662963867</c:v>
                      </c:pt>
                      <c:pt idx="22">
                        <c:v>-6.9379658699035645</c:v>
                      </c:pt>
                      <c:pt idx="23">
                        <c:v>-6.9923171997070313</c:v>
                      </c:pt>
                      <c:pt idx="24">
                        <c:v>-7.0489039421081543</c:v>
                      </c:pt>
                      <c:pt idx="25">
                        <c:v>-7.1054911613464355</c:v>
                      </c:pt>
                      <c:pt idx="26">
                        <c:v>-7.1618566513061523</c:v>
                      </c:pt>
                      <c:pt idx="27">
                        <c:v>-7.2177867889404297</c:v>
                      </c:pt>
                      <c:pt idx="28">
                        <c:v>-7.2737164497375488</c:v>
                      </c:pt>
                      <c:pt idx="29">
                        <c:v>-7.3296465873718262</c:v>
                      </c:pt>
                      <c:pt idx="30">
                        <c:v>-7.3855767250061035</c:v>
                      </c:pt>
                      <c:pt idx="31">
                        <c:v>-7.4415068626403809</c:v>
                      </c:pt>
                      <c:pt idx="32">
                        <c:v>-7.4954996109008789</c:v>
                      </c:pt>
                      <c:pt idx="33">
                        <c:v>-7.548283576965332</c:v>
                      </c:pt>
                      <c:pt idx="34">
                        <c:v>-7.6010675430297852</c:v>
                      </c:pt>
                      <c:pt idx="35">
                        <c:v>-7.6538519859313965</c:v>
                      </c:pt>
                      <c:pt idx="36">
                        <c:v>-7.7066359519958496</c:v>
                      </c:pt>
                      <c:pt idx="37">
                        <c:v>-7.7594199180603027</c:v>
                      </c:pt>
                      <c:pt idx="38">
                        <c:v>-7.8093338012695313</c:v>
                      </c:pt>
                      <c:pt idx="39">
                        <c:v>-7.8589086532592773</c:v>
                      </c:pt>
                      <c:pt idx="40">
                        <c:v>-7.9084830284118652</c:v>
                      </c:pt>
                      <c:pt idx="41">
                        <c:v>-7.9580578804016113</c:v>
                      </c:pt>
                      <c:pt idx="42">
                        <c:v>-8.0076322555541992</c:v>
                      </c:pt>
                      <c:pt idx="43">
                        <c:v>-8.0566673278808594</c:v>
                      </c:pt>
                      <c:pt idx="44">
                        <c:v>-8.1033334732055664</c:v>
                      </c:pt>
                      <c:pt idx="45">
                        <c:v>-8.1500005722045898</c:v>
                      </c:pt>
                      <c:pt idx="46">
                        <c:v>-8.1962356567382813</c:v>
                      </c:pt>
                      <c:pt idx="47">
                        <c:v>-8.2415294647216797</c:v>
                      </c:pt>
                      <c:pt idx="48">
                        <c:v>-8.2873935699462891</c:v>
                      </c:pt>
                      <c:pt idx="49">
                        <c:v>-8.3322677612304688</c:v>
                      </c:pt>
                      <c:pt idx="50">
                        <c:v>-8.3757762908935547</c:v>
                      </c:pt>
                      <c:pt idx="51">
                        <c:v>-8.419285774230957</c:v>
                      </c:pt>
                      <c:pt idx="52">
                        <c:v>-8.462794303894043</c:v>
                      </c:pt>
                      <c:pt idx="53">
                        <c:v>-8.5063028335571289</c:v>
                      </c:pt>
                      <c:pt idx="54">
                        <c:v>-8.5498123168945313</c:v>
                      </c:pt>
                      <c:pt idx="55">
                        <c:v>-8.5912685394287109</c:v>
                      </c:pt>
                      <c:pt idx="56">
                        <c:v>-8.6320152282714844</c:v>
                      </c:pt>
                      <c:pt idx="57">
                        <c:v>-8.6727609634399414</c:v>
                      </c:pt>
                      <c:pt idx="58">
                        <c:v>-8.7135076522827148</c:v>
                      </c:pt>
                      <c:pt idx="59">
                        <c:v>-8.7542533874511719</c:v>
                      </c:pt>
                      <c:pt idx="6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36C-4BD0-B1E6-7BDC34DDB97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Answ2!$A$14:$B$14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Answ2!$C$14:$BK$14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-7.4245467185974121</c:v>
                      </c:pt>
                      <c:pt idx="1">
                        <c:v>-9.1569414138793945</c:v>
                      </c:pt>
                      <c:pt idx="2">
                        <c:v>-10.889335632324219</c:v>
                      </c:pt>
                      <c:pt idx="3">
                        <c:v>-12.621729850769043</c:v>
                      </c:pt>
                      <c:pt idx="4">
                        <c:v>-14.354123115539551</c:v>
                      </c:pt>
                      <c:pt idx="5">
                        <c:v>-16.086519241333008</c:v>
                      </c:pt>
                      <c:pt idx="6">
                        <c:v>-17.818912506103516</c:v>
                      </c:pt>
                      <c:pt idx="7">
                        <c:v>-19.551307678222656</c:v>
                      </c:pt>
                      <c:pt idx="8">
                        <c:v>-21.283700942993164</c:v>
                      </c:pt>
                      <c:pt idx="9">
                        <c:v>-21.842342376708984</c:v>
                      </c:pt>
                      <c:pt idx="10">
                        <c:v>-21.304939270019531</c:v>
                      </c:pt>
                      <c:pt idx="11">
                        <c:v>-21.367813110351563</c:v>
                      </c:pt>
                      <c:pt idx="12">
                        <c:v>-21.575359344482422</c:v>
                      </c:pt>
                      <c:pt idx="13">
                        <c:v>-21.858772277832031</c:v>
                      </c:pt>
                      <c:pt idx="14">
                        <c:v>-22.131227493286133</c:v>
                      </c:pt>
                      <c:pt idx="15">
                        <c:v>-22.348892211914063</c:v>
                      </c:pt>
                      <c:pt idx="16">
                        <c:v>-22.556417465209961</c:v>
                      </c:pt>
                      <c:pt idx="17">
                        <c:v>-22.772985458374023</c:v>
                      </c:pt>
                      <c:pt idx="18">
                        <c:v>-22.951412200927734</c:v>
                      </c:pt>
                      <c:pt idx="19">
                        <c:v>-23.209201812744141</c:v>
                      </c:pt>
                      <c:pt idx="20">
                        <c:v>-23.551956176757813</c:v>
                      </c:pt>
                      <c:pt idx="21">
                        <c:v>-23.90125846862793</c:v>
                      </c:pt>
                      <c:pt idx="22">
                        <c:v>-24.241737365722656</c:v>
                      </c:pt>
                      <c:pt idx="23">
                        <c:v>-24.577066421508789</c:v>
                      </c:pt>
                      <c:pt idx="24">
                        <c:v>-24.912395477294922</c:v>
                      </c:pt>
                      <c:pt idx="25">
                        <c:v>-25.247724533081055</c:v>
                      </c:pt>
                      <c:pt idx="26">
                        <c:v>-25.576656341552734</c:v>
                      </c:pt>
                      <c:pt idx="27">
                        <c:v>-25.893011093139648</c:v>
                      </c:pt>
                      <c:pt idx="28">
                        <c:v>-26.209365844726563</c:v>
                      </c:pt>
                      <c:pt idx="29">
                        <c:v>-26.525720596313477</c:v>
                      </c:pt>
                      <c:pt idx="30">
                        <c:v>-26.842075347900391</c:v>
                      </c:pt>
                      <c:pt idx="31">
                        <c:v>-27.158430099487305</c:v>
                      </c:pt>
                      <c:pt idx="32">
                        <c:v>-27.465099334716797</c:v>
                      </c:pt>
                      <c:pt idx="33">
                        <c:v>-27.765724182128906</c:v>
                      </c:pt>
                      <c:pt idx="34">
                        <c:v>-28.066347122192383</c:v>
                      </c:pt>
                      <c:pt idx="35">
                        <c:v>-28.366971969604492</c:v>
                      </c:pt>
                      <c:pt idx="36">
                        <c:v>-28.667594909667969</c:v>
                      </c:pt>
                      <c:pt idx="37">
                        <c:v>-28.968219757080078</c:v>
                      </c:pt>
                      <c:pt idx="38">
                        <c:v>-29.255350112915039</c:v>
                      </c:pt>
                      <c:pt idx="39">
                        <c:v>-29.540885925292969</c:v>
                      </c:pt>
                      <c:pt idx="40">
                        <c:v>-29.826421737670898</c:v>
                      </c:pt>
                      <c:pt idx="41">
                        <c:v>-30.111955642700195</c:v>
                      </c:pt>
                      <c:pt idx="42">
                        <c:v>-30.397491455078125</c:v>
                      </c:pt>
                      <c:pt idx="43">
                        <c:v>-30.680980682373047</c:v>
                      </c:pt>
                      <c:pt idx="44">
                        <c:v>-30.955490112304688</c:v>
                      </c:pt>
                      <c:pt idx="45">
                        <c:v>-31.23090934753418</c:v>
                      </c:pt>
                      <c:pt idx="46">
                        <c:v>-31.504117965698242</c:v>
                      </c:pt>
                      <c:pt idx="47">
                        <c:v>-31.771762847900391</c:v>
                      </c:pt>
                      <c:pt idx="48">
                        <c:v>-32.046363830566406</c:v>
                      </c:pt>
                      <c:pt idx="49">
                        <c:v>-32.318874359130859</c:v>
                      </c:pt>
                      <c:pt idx="50">
                        <c:v>-32.587291717529297</c:v>
                      </c:pt>
                      <c:pt idx="51">
                        <c:v>-32.855712890625</c:v>
                      </c:pt>
                      <c:pt idx="52">
                        <c:v>-33.124134063720703</c:v>
                      </c:pt>
                      <c:pt idx="53">
                        <c:v>-33.392555236816406</c:v>
                      </c:pt>
                      <c:pt idx="54">
                        <c:v>-33.660976409912109</c:v>
                      </c:pt>
                      <c:pt idx="55">
                        <c:v>-33.922737121582031</c:v>
                      </c:pt>
                      <c:pt idx="56">
                        <c:v>-34.18218994140625</c:v>
                      </c:pt>
                      <c:pt idx="57">
                        <c:v>-34.441642761230469</c:v>
                      </c:pt>
                      <c:pt idx="58">
                        <c:v>-34.701095581054688</c:v>
                      </c:pt>
                      <c:pt idx="59">
                        <c:v>-34.960548400878906</c:v>
                      </c:pt>
                      <c:pt idx="6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36C-4BD0-B1E6-7BDC34DDB979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8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7175418628988008"/>
              <c:y val="0.89628750603502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18"/>
          <c:min val="-2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Ga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452466456662013"/>
          <c:y val="9.9906653562126441E-2"/>
          <c:w val="0.81227359992323545"/>
          <c:h val="0.765213277243177"/>
        </c:manualLayout>
      </c:layout>
      <c:scatterChart>
        <c:scatterStyle val="smoothMarker"/>
        <c:varyColors val="0"/>
        <c:ser>
          <c:idx val="1"/>
          <c:order val="1"/>
          <c:tx>
            <c:strRef>
              <c:f>Answ2!$A$4:$B$4</c:f>
              <c:strCache>
                <c:ptCount val="2"/>
                <c:pt idx="0">
                  <c:v>Fluid</c:v>
                </c:pt>
                <c:pt idx="1">
                  <c:v>H(Ga)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Answ2!$C$4:$BK$4</c:f>
              <c:numCache>
                <c:formatCode>General</c:formatCode>
                <c:ptCount val="61"/>
                <c:pt idx="0">
                  <c:v>-2.0945672988891602</c:v>
                </c:pt>
                <c:pt idx="1">
                  <c:v>-2.5832996368408203</c:v>
                </c:pt>
                <c:pt idx="2">
                  <c:v>-3.0720319747924805</c:v>
                </c:pt>
                <c:pt idx="3">
                  <c:v>-3.5607643127441406</c:v>
                </c:pt>
                <c:pt idx="4">
                  <c:v>-4.0494966506958008</c:v>
                </c:pt>
                <c:pt idx="5">
                  <c:v>-4.5382289886474609</c:v>
                </c:pt>
                <c:pt idx="6">
                  <c:v>-5.0269613265991211</c:v>
                </c:pt>
                <c:pt idx="7">
                  <c:v>-5.5156941413879395</c:v>
                </c:pt>
                <c:pt idx="8">
                  <c:v>-6.0044260025024414</c:v>
                </c:pt>
                <c:pt idx="9">
                  <c:v>-6.3257269859313965</c:v>
                </c:pt>
                <c:pt idx="10">
                  <c:v>-6.4833798408508301</c:v>
                </c:pt>
                <c:pt idx="11">
                  <c:v>-6.6410326957702637</c:v>
                </c:pt>
                <c:pt idx="12">
                  <c:v>-6.7986860275268555</c:v>
                </c:pt>
                <c:pt idx="13">
                  <c:v>-6.9563388824462891</c:v>
                </c:pt>
                <c:pt idx="14">
                  <c:v>-7.1139917373657227</c:v>
                </c:pt>
                <c:pt idx="15">
                  <c:v>-7.2553892135620117</c:v>
                </c:pt>
                <c:pt idx="16">
                  <c:v>-7.3900966644287109</c:v>
                </c:pt>
                <c:pt idx="17">
                  <c:v>-7.5207357406616211</c:v>
                </c:pt>
                <c:pt idx="18">
                  <c:v>-7.650444507598877</c:v>
                </c:pt>
                <c:pt idx="19">
                  <c:v>-7.781954288482666</c:v>
                </c:pt>
                <c:pt idx="20">
                  <c:v>-7.9187793731689453</c:v>
                </c:pt>
                <c:pt idx="21">
                  <c:v>-8.1061792373657227</c:v>
                </c:pt>
                <c:pt idx="22">
                  <c:v>-8.2935791015625</c:v>
                </c:pt>
                <c:pt idx="23">
                  <c:v>-8.4809799194335938</c:v>
                </c:pt>
                <c:pt idx="24">
                  <c:v>-8.6683797836303711</c:v>
                </c:pt>
                <c:pt idx="25">
                  <c:v>-8.8557796478271484</c:v>
                </c:pt>
                <c:pt idx="26">
                  <c:v>-9.0593729019165039</c:v>
                </c:pt>
                <c:pt idx="27">
                  <c:v>-9.2948026657104492</c:v>
                </c:pt>
                <c:pt idx="28">
                  <c:v>-9.5264291763305664</c:v>
                </c:pt>
                <c:pt idx="29">
                  <c:v>-9.7526493072509766</c:v>
                </c:pt>
                <c:pt idx="30">
                  <c:v>-9.9727811813354492</c:v>
                </c:pt>
                <c:pt idx="31">
                  <c:v>-10.180266380310059</c:v>
                </c:pt>
                <c:pt idx="32">
                  <c:v>-10.369768142700195</c:v>
                </c:pt>
                <c:pt idx="33">
                  <c:v>-10.54804515838623</c:v>
                </c:pt>
                <c:pt idx="34">
                  <c:v>-10.726322174072266</c:v>
                </c:pt>
                <c:pt idx="35">
                  <c:v>-10.904599189758301</c:v>
                </c:pt>
                <c:pt idx="36">
                  <c:v>-11.082876205444336</c:v>
                </c:pt>
                <c:pt idx="37">
                  <c:v>-11.261153221130371</c:v>
                </c:pt>
                <c:pt idx="38">
                  <c:v>-11.411197662353516</c:v>
                </c:pt>
                <c:pt idx="39">
                  <c:v>-11.544319152832031</c:v>
                </c:pt>
                <c:pt idx="40">
                  <c:v>-11.661515235900879</c:v>
                </c:pt>
                <c:pt idx="41">
                  <c:v>-11.767576217651367</c:v>
                </c:pt>
                <c:pt idx="42">
                  <c:v>-11.865151405334473</c:v>
                </c:pt>
                <c:pt idx="43">
                  <c:v>-11.952935218811035</c:v>
                </c:pt>
                <c:pt idx="44">
                  <c:v>-12.022586822509766</c:v>
                </c:pt>
                <c:pt idx="45">
                  <c:v>-12.092238426208496</c:v>
                </c:pt>
                <c:pt idx="46">
                  <c:v>-12.161890983581543</c:v>
                </c:pt>
                <c:pt idx="47">
                  <c:v>-12.231542587280273</c:v>
                </c:pt>
                <c:pt idx="48">
                  <c:v>-12.301194190979004</c:v>
                </c:pt>
                <c:pt idx="49">
                  <c:v>-12.36408519744873</c:v>
                </c:pt>
                <c:pt idx="50">
                  <c:v>-12.418471336364746</c:v>
                </c:pt>
                <c:pt idx="51">
                  <c:v>-12.472857475280762</c:v>
                </c:pt>
                <c:pt idx="52">
                  <c:v>-12.527242660522461</c:v>
                </c:pt>
                <c:pt idx="53">
                  <c:v>-12.581628799438477</c:v>
                </c:pt>
                <c:pt idx="54">
                  <c:v>-12.636014938354492</c:v>
                </c:pt>
                <c:pt idx="55">
                  <c:v>-12.684925079345703</c:v>
                </c:pt>
                <c:pt idx="56">
                  <c:v>-12.731940269470215</c:v>
                </c:pt>
                <c:pt idx="57">
                  <c:v>-12.778955459594727</c:v>
                </c:pt>
                <c:pt idx="58">
                  <c:v>-12.825969696044922</c:v>
                </c:pt>
                <c:pt idx="59">
                  <c:v>-12.872984886169434</c:v>
                </c:pt>
                <c:pt idx="60">
                  <c:v>-12.920000076293945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4F-4BDB-8794-F0C705C012D6}"/>
            </c:ext>
          </c:extLst>
        </c:ser>
        <c:ser>
          <c:idx val="5"/>
          <c:order val="5"/>
          <c:tx>
            <c:strRef>
              <c:f>Answ2!$A$8:$B$8</c:f>
              <c:strCache>
                <c:ptCount val="2"/>
                <c:pt idx="0">
                  <c:v>Solid</c:v>
                </c:pt>
                <c:pt idx="1">
                  <c:v>H(Ga)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Answ2!$C$8:$BK$8</c:f>
              <c:numCache>
                <c:formatCode>General</c:formatCode>
                <c:ptCount val="61"/>
                <c:pt idx="0">
                  <c:v>-20.452716827392578</c:v>
                </c:pt>
                <c:pt idx="1">
                  <c:v>-25.225017547607422</c:v>
                </c:pt>
                <c:pt idx="2">
                  <c:v>-29.997318267822266</c:v>
                </c:pt>
                <c:pt idx="3">
                  <c:v>-34.769618988037109</c:v>
                </c:pt>
                <c:pt idx="4">
                  <c:v>-39.541915893554688</c:v>
                </c:pt>
                <c:pt idx="5">
                  <c:v>-44.314220428466797</c:v>
                </c:pt>
                <c:pt idx="6">
                  <c:v>-49.086517333984375</c:v>
                </c:pt>
                <c:pt idx="7">
                  <c:v>-53.858821868896484</c:v>
                </c:pt>
                <c:pt idx="8">
                  <c:v>-58.631118774414063</c:v>
                </c:pt>
                <c:pt idx="9">
                  <c:v>-59.005619049072266</c:v>
                </c:pt>
                <c:pt idx="10">
                  <c:v>-55.034858703613281</c:v>
                </c:pt>
                <c:pt idx="11">
                  <c:v>-50.514900207519531</c:v>
                </c:pt>
                <c:pt idx="12">
                  <c:v>-46.089878082275391</c:v>
                </c:pt>
                <c:pt idx="13">
                  <c:v>-41.849239349365234</c:v>
                </c:pt>
                <c:pt idx="14">
                  <c:v>-38.09075927734375</c:v>
                </c:pt>
                <c:pt idx="15">
                  <c:v>-34.715808868408203</c:v>
                </c:pt>
                <c:pt idx="16">
                  <c:v>-31.584388732910156</c:v>
                </c:pt>
                <c:pt idx="17">
                  <c:v>-28.706148147583008</c:v>
                </c:pt>
                <c:pt idx="18">
                  <c:v>-26.497867584228516</c:v>
                </c:pt>
                <c:pt idx="19">
                  <c:v>-25.865806579589844</c:v>
                </c:pt>
                <c:pt idx="20">
                  <c:v>-26.785438537597656</c:v>
                </c:pt>
                <c:pt idx="21">
                  <c:v>-27.667425155639648</c:v>
                </c:pt>
                <c:pt idx="22">
                  <c:v>-28.549409866333008</c:v>
                </c:pt>
                <c:pt idx="23">
                  <c:v>-29.431398391723633</c:v>
                </c:pt>
                <c:pt idx="24">
                  <c:v>-30.313383102416992</c:v>
                </c:pt>
                <c:pt idx="25">
                  <c:v>-31.195369720458984</c:v>
                </c:pt>
                <c:pt idx="26">
                  <c:v>-32.045169830322266</c:v>
                </c:pt>
                <c:pt idx="27">
                  <c:v>-32.831687927246094</c:v>
                </c:pt>
                <c:pt idx="28">
                  <c:v>-33.618202209472656</c:v>
                </c:pt>
                <c:pt idx="29">
                  <c:v>-34.404720306396484</c:v>
                </c:pt>
                <c:pt idx="30">
                  <c:v>-35.191234588623047</c:v>
                </c:pt>
                <c:pt idx="31">
                  <c:v>-35.977752685546875</c:v>
                </c:pt>
                <c:pt idx="32">
                  <c:v>-36.685710906982422</c:v>
                </c:pt>
                <c:pt idx="33">
                  <c:v>-37.344635009765625</c:v>
                </c:pt>
                <c:pt idx="34">
                  <c:v>-38.003562927246094</c:v>
                </c:pt>
                <c:pt idx="35">
                  <c:v>-38.662490844726563</c:v>
                </c:pt>
                <c:pt idx="36">
                  <c:v>-39.321414947509766</c:v>
                </c:pt>
                <c:pt idx="37">
                  <c:v>-39.980342864990234</c:v>
                </c:pt>
                <c:pt idx="38">
                  <c:v>-40.556049346923828</c:v>
                </c:pt>
                <c:pt idx="39">
                  <c:v>-41.099643707275391</c:v>
                </c:pt>
                <c:pt idx="40">
                  <c:v>-41.617073059082031</c:v>
                </c:pt>
                <c:pt idx="41">
                  <c:v>-42.112022399902344</c:v>
                </c:pt>
                <c:pt idx="42">
                  <c:v>-42.577274322509766</c:v>
                </c:pt>
                <c:pt idx="43">
                  <c:v>-43.002090454101563</c:v>
                </c:pt>
                <c:pt idx="44">
                  <c:v>-43.336418151855469</c:v>
                </c:pt>
                <c:pt idx="45">
                  <c:v>-43.670745849609375</c:v>
                </c:pt>
                <c:pt idx="46">
                  <c:v>-44.005073547363281</c:v>
                </c:pt>
                <c:pt idx="47">
                  <c:v>-44.339401245117188</c:v>
                </c:pt>
                <c:pt idx="48">
                  <c:v>-44.673732757568359</c:v>
                </c:pt>
                <c:pt idx="49">
                  <c:v>-44.92681884765625</c:v>
                </c:pt>
                <c:pt idx="50">
                  <c:v>-45.077693939208984</c:v>
                </c:pt>
                <c:pt idx="51">
                  <c:v>-45.228572845458984</c:v>
                </c:pt>
                <c:pt idx="52">
                  <c:v>-45.379451751708984</c:v>
                </c:pt>
                <c:pt idx="53">
                  <c:v>-45.530326843261719</c:v>
                </c:pt>
                <c:pt idx="54">
                  <c:v>-45.681205749511719</c:v>
                </c:pt>
                <c:pt idx="55">
                  <c:v>-45.740390777587891</c:v>
                </c:pt>
                <c:pt idx="56">
                  <c:v>-45.755958557128906</c:v>
                </c:pt>
                <c:pt idx="57">
                  <c:v>-45.7418212890625</c:v>
                </c:pt>
                <c:pt idx="58">
                  <c:v>-45.680194854736328</c:v>
                </c:pt>
                <c:pt idx="59">
                  <c:v>-45.590202331542969</c:v>
                </c:pt>
                <c:pt idx="60">
                  <c:v>-45.470001220703125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4F-4BDB-8794-F0C705C012D6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Answ2!$A$1:$A$2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Answ2!$B$1:$B$2</c:f>
              <c:numCache>
                <c:formatCode>General</c:formatCode>
                <c:ptCount val="2"/>
                <c:pt idx="0">
                  <c:v>-200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D4F-4BDB-8794-F0C705C01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Answ2!$A$3:$B$3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H(Аг)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Answ2!$C$3:$BK$3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-6.2407779693603516</c:v>
                      </c:pt>
                      <c:pt idx="1">
                        <c:v>-7.6969594955444336</c:v>
                      </c:pt>
                      <c:pt idx="2">
                        <c:v>-9.1531410217285156</c:v>
                      </c:pt>
                      <c:pt idx="3">
                        <c:v>-10.609322547912598</c:v>
                      </c:pt>
                      <c:pt idx="4">
                        <c:v>-12.06550407409668</c:v>
                      </c:pt>
                      <c:pt idx="5">
                        <c:v>-13.521685600280762</c:v>
                      </c:pt>
                      <c:pt idx="6">
                        <c:v>-14.977867126464844</c:v>
                      </c:pt>
                      <c:pt idx="7">
                        <c:v>-16.434049606323242</c:v>
                      </c:pt>
                      <c:pt idx="8">
                        <c:v>-17.890230178833008</c:v>
                      </c:pt>
                      <c:pt idx="9">
                        <c:v>-18.623258590698242</c:v>
                      </c:pt>
                      <c:pt idx="10">
                        <c:v>-18.649477005004883</c:v>
                      </c:pt>
                      <c:pt idx="11">
                        <c:v>-18.675693511962891</c:v>
                      </c:pt>
                      <c:pt idx="12">
                        <c:v>-18.701910018920898</c:v>
                      </c:pt>
                      <c:pt idx="13">
                        <c:v>-18.728128433227539</c:v>
                      </c:pt>
                      <c:pt idx="14">
                        <c:v>-18.754344940185547</c:v>
                      </c:pt>
                      <c:pt idx="15">
                        <c:v>-18.79835319519043</c:v>
                      </c:pt>
                      <c:pt idx="16">
                        <c:v>-18.847255706787109</c:v>
                      </c:pt>
                      <c:pt idx="17">
                        <c:v>-18.896158218383789</c:v>
                      </c:pt>
                      <c:pt idx="18">
                        <c:v>-18.945194244384766</c:v>
                      </c:pt>
                      <c:pt idx="19">
                        <c:v>-19.001077651977539</c:v>
                      </c:pt>
                      <c:pt idx="20">
                        <c:v>-19.065269470214844</c:v>
                      </c:pt>
                      <c:pt idx="21">
                        <c:v>-19.149101257324219</c:v>
                      </c:pt>
                      <c:pt idx="22">
                        <c:v>-19.232934951782227</c:v>
                      </c:pt>
                      <c:pt idx="23">
                        <c:v>-19.316766738891602</c:v>
                      </c:pt>
                      <c:pt idx="24">
                        <c:v>-19.400598526000977</c:v>
                      </c:pt>
                      <c:pt idx="25">
                        <c:v>-19.484432220458984</c:v>
                      </c:pt>
                      <c:pt idx="26">
                        <c:v>-19.565908432006836</c:v>
                      </c:pt>
                      <c:pt idx="27">
                        <c:v>-19.642753601074219</c:v>
                      </c:pt>
                      <c:pt idx="28">
                        <c:v>-19.719810485839844</c:v>
                      </c:pt>
                      <c:pt idx="29">
                        <c:v>-19.790090560913086</c:v>
                      </c:pt>
                      <c:pt idx="30">
                        <c:v>-19.853294372558594</c:v>
                      </c:pt>
                      <c:pt idx="31">
                        <c:v>-19.923154830932617</c:v>
                      </c:pt>
                      <c:pt idx="32">
                        <c:v>-20.000579833984375</c:v>
                      </c:pt>
                      <c:pt idx="33">
                        <c:v>-20.082727432250977</c:v>
                      </c:pt>
                      <c:pt idx="34">
                        <c:v>-20.164875030517578</c:v>
                      </c:pt>
                      <c:pt idx="35">
                        <c:v>-20.247020721435547</c:v>
                      </c:pt>
                      <c:pt idx="36">
                        <c:v>-20.329168319702148</c:v>
                      </c:pt>
                      <c:pt idx="37">
                        <c:v>-20.41131591796875</c:v>
                      </c:pt>
                      <c:pt idx="38">
                        <c:v>-20.494970321655273</c:v>
                      </c:pt>
                      <c:pt idx="39">
                        <c:v>-20.578344345092773</c:v>
                      </c:pt>
                      <c:pt idx="40">
                        <c:v>-20.6610107421875</c:v>
                      </c:pt>
                      <c:pt idx="41">
                        <c:v>-20.731718063354492</c:v>
                      </c:pt>
                      <c:pt idx="42">
                        <c:v>-20.798181533813477</c:v>
                      </c:pt>
                      <c:pt idx="43">
                        <c:v>-20.858732223510742</c:v>
                      </c:pt>
                      <c:pt idx="44">
                        <c:v>-20.905746459960938</c:v>
                      </c:pt>
                      <c:pt idx="45">
                        <c:v>-20.952762603759766</c:v>
                      </c:pt>
                      <c:pt idx="46">
                        <c:v>-20.999776840209961</c:v>
                      </c:pt>
                      <c:pt idx="47">
                        <c:v>-21.046791076660156</c:v>
                      </c:pt>
                      <c:pt idx="48">
                        <c:v>-21.093807220458984</c:v>
                      </c:pt>
                      <c:pt idx="49">
                        <c:v>-21.137094497680664</c:v>
                      </c:pt>
                      <c:pt idx="50">
                        <c:v>-21.175689697265625</c:v>
                      </c:pt>
                      <c:pt idx="51">
                        <c:v>-21.214286804199219</c:v>
                      </c:pt>
                      <c:pt idx="52">
                        <c:v>-21.25288200378418</c:v>
                      </c:pt>
                      <c:pt idx="53">
                        <c:v>-21.291479110717773</c:v>
                      </c:pt>
                      <c:pt idx="54">
                        <c:v>-21.330076217651367</c:v>
                      </c:pt>
                      <c:pt idx="55">
                        <c:v>-21.364578247070313</c:v>
                      </c:pt>
                      <c:pt idx="56">
                        <c:v>-21.397661209106445</c:v>
                      </c:pt>
                      <c:pt idx="57">
                        <c:v>-21.430746078491211</c:v>
                      </c:pt>
                      <c:pt idx="58">
                        <c:v>-21.463830947875977</c:v>
                      </c:pt>
                      <c:pt idx="59">
                        <c:v>-21.496915817260742</c:v>
                      </c:pt>
                      <c:pt idx="60">
                        <c:v>-21.530000686645508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D4F-4BDB-8794-F0C705C012D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Answ2!$A$5:$B$5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Answ2!$C$5:$BK$5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1.7997987270355225</c:v>
                      </c:pt>
                      <c:pt idx="1">
                        <c:v>2.2197518348693848</c:v>
                      </c:pt>
                      <c:pt idx="2">
                        <c:v>2.6397049427032471</c:v>
                      </c:pt>
                      <c:pt idx="3">
                        <c:v>3.0596578121185303</c:v>
                      </c:pt>
                      <c:pt idx="4">
                        <c:v>3.4796109199523926</c:v>
                      </c:pt>
                      <c:pt idx="5">
                        <c:v>3.8995640277862549</c:v>
                      </c:pt>
                      <c:pt idx="6">
                        <c:v>4.3195171356201172</c:v>
                      </c:pt>
                      <c:pt idx="7">
                        <c:v>4.7394700050354004</c:v>
                      </c:pt>
                      <c:pt idx="8">
                        <c:v>5.1594228744506836</c:v>
                      </c:pt>
                      <c:pt idx="9">
                        <c:v>4.9577217102050781</c:v>
                      </c:pt>
                      <c:pt idx="10">
                        <c:v>4.1484131813049316</c:v>
                      </c:pt>
                      <c:pt idx="11">
                        <c:v>3.3391053676605225</c:v>
                      </c:pt>
                      <c:pt idx="12">
                        <c:v>2.5297966003417969</c:v>
                      </c:pt>
                      <c:pt idx="13">
                        <c:v>1.7204878330230713</c:v>
                      </c:pt>
                      <c:pt idx="14">
                        <c:v>0.91118013858795166</c:v>
                      </c:pt>
                      <c:pt idx="15">
                        <c:v>0.3026929497718811</c:v>
                      </c:pt>
                      <c:pt idx="16">
                        <c:v>-0.22795909643173218</c:v>
                      </c:pt>
                      <c:pt idx="17">
                        <c:v>-0.71716231107711792</c:v>
                      </c:pt>
                      <c:pt idx="18">
                        <c:v>-1.1574499607086182</c:v>
                      </c:pt>
                      <c:pt idx="19">
                        <c:v>-1.5686105489730835</c:v>
                      </c:pt>
                      <c:pt idx="20">
                        <c:v>-1.9477295875549316</c:v>
                      </c:pt>
                      <c:pt idx="21">
                        <c:v>-2.229790210723877</c:v>
                      </c:pt>
                      <c:pt idx="22">
                        <c:v>-2.5118510723114014</c:v>
                      </c:pt>
                      <c:pt idx="23">
                        <c:v>-2.793912410736084</c:v>
                      </c:pt>
                      <c:pt idx="24">
                        <c:v>-3.0759732723236084</c:v>
                      </c:pt>
                      <c:pt idx="25">
                        <c:v>-3.3580338954925537</c:v>
                      </c:pt>
                      <c:pt idx="26">
                        <c:v>-3.6187207698822021</c:v>
                      </c:pt>
                      <c:pt idx="27">
                        <c:v>-3.8373832702636719</c:v>
                      </c:pt>
                      <c:pt idx="28">
                        <c:v>-4.0445823669433594</c:v>
                      </c:pt>
                      <c:pt idx="29">
                        <c:v>-4.2426037788391113</c:v>
                      </c:pt>
                      <c:pt idx="30">
                        <c:v>-4.4310684204101563</c:v>
                      </c:pt>
                      <c:pt idx="31">
                        <c:v>-4.602226734161377</c:v>
                      </c:pt>
                      <c:pt idx="32">
                        <c:v>-4.7326774597167969</c:v>
                      </c:pt>
                      <c:pt idx="33">
                        <c:v>-4.8377208709716797</c:v>
                      </c:pt>
                      <c:pt idx="34">
                        <c:v>-4.9427642822265625</c:v>
                      </c:pt>
                      <c:pt idx="35">
                        <c:v>-5.0478081703186035</c:v>
                      </c:pt>
                      <c:pt idx="36">
                        <c:v>-5.1528520584106445</c:v>
                      </c:pt>
                      <c:pt idx="37">
                        <c:v>-5.2578954696655273</c:v>
                      </c:pt>
                      <c:pt idx="38">
                        <c:v>-5.3164811134338379</c:v>
                      </c:pt>
                      <c:pt idx="39">
                        <c:v>-5.3667278289794922</c:v>
                      </c:pt>
                      <c:pt idx="40">
                        <c:v>-5.413818359375</c:v>
                      </c:pt>
                      <c:pt idx="41">
                        <c:v>-5.4710907936096191</c:v>
                      </c:pt>
                      <c:pt idx="42">
                        <c:v>-5.5338788032531738</c:v>
                      </c:pt>
                      <c:pt idx="43">
                        <c:v>-5.6030049324035645</c:v>
                      </c:pt>
                      <c:pt idx="44">
                        <c:v>-5.6838006973266602</c:v>
                      </c:pt>
                      <c:pt idx="45">
                        <c:v>-5.7645969390869141</c:v>
                      </c:pt>
                      <c:pt idx="46">
                        <c:v>-5.845393180847168</c:v>
                      </c:pt>
                      <c:pt idx="47">
                        <c:v>-5.9261889457702637</c:v>
                      </c:pt>
                      <c:pt idx="48">
                        <c:v>-6.0069851875305176</c:v>
                      </c:pt>
                      <c:pt idx="49">
                        <c:v>-6.0910801887512207</c:v>
                      </c:pt>
                      <c:pt idx="50">
                        <c:v>-6.1793255805969238</c:v>
                      </c:pt>
                      <c:pt idx="51">
                        <c:v>-6.2675714492797852</c:v>
                      </c:pt>
                      <c:pt idx="52">
                        <c:v>-6.3558173179626465</c:v>
                      </c:pt>
                      <c:pt idx="53">
                        <c:v>-6.4440622329711914</c:v>
                      </c:pt>
                      <c:pt idx="54">
                        <c:v>-6.5323081016540527</c:v>
                      </c:pt>
                      <c:pt idx="55">
                        <c:v>-6.616572380065918</c:v>
                      </c:pt>
                      <c:pt idx="56">
                        <c:v>-6.6994576454162598</c:v>
                      </c:pt>
                      <c:pt idx="57">
                        <c:v>-6.7823433876037598</c:v>
                      </c:pt>
                      <c:pt idx="58">
                        <c:v>-6.8652291297912598</c:v>
                      </c:pt>
                      <c:pt idx="59">
                        <c:v>-6.9481143951416016</c:v>
                      </c:pt>
                      <c:pt idx="60">
                        <c:v>-7.0310001373291016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D4F-4BDB-8794-F0C705C012D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Answ2!$A$6:$B$6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Answ2!$C$6:$BK$6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-1.6177061796188354</c:v>
                      </c:pt>
                      <c:pt idx="1">
                        <c:v>-1.9951709508895874</c:v>
                      </c:pt>
                      <c:pt idx="2">
                        <c:v>-2.3726358413696289</c:v>
                      </c:pt>
                      <c:pt idx="3">
                        <c:v>-2.7501003742218018</c:v>
                      </c:pt>
                      <c:pt idx="4">
                        <c:v>-3.1275651454925537</c:v>
                      </c:pt>
                      <c:pt idx="5">
                        <c:v>-3.5050299167633057</c:v>
                      </c:pt>
                      <c:pt idx="6">
                        <c:v>-3.8824946880340576</c:v>
                      </c:pt>
                      <c:pt idx="7">
                        <c:v>-4.2599596977233887</c:v>
                      </c:pt>
                      <c:pt idx="8">
                        <c:v>-4.6374239921569824</c:v>
                      </c:pt>
                      <c:pt idx="9">
                        <c:v>-4.8921480178833008</c:v>
                      </c:pt>
                      <c:pt idx="10">
                        <c:v>-5.0269045829772949</c:v>
                      </c:pt>
                      <c:pt idx="11">
                        <c:v>-5.1616611480712891</c:v>
                      </c:pt>
                      <c:pt idx="12">
                        <c:v>-5.2964177131652832</c:v>
                      </c:pt>
                      <c:pt idx="13">
                        <c:v>-5.4311742782592773</c:v>
                      </c:pt>
                      <c:pt idx="14">
                        <c:v>-5.5659308433532715</c:v>
                      </c:pt>
                      <c:pt idx="15">
                        <c:v>-5.7007455825805664</c:v>
                      </c:pt>
                      <c:pt idx="16">
                        <c:v>-5.8340969085693359</c:v>
                      </c:pt>
                      <c:pt idx="17">
                        <c:v>-5.9647355079650879</c:v>
                      </c:pt>
                      <c:pt idx="18">
                        <c:v>-6.0912165641784668</c:v>
                      </c:pt>
                      <c:pt idx="19">
                        <c:v>-6.214047908782959</c:v>
                      </c:pt>
                      <c:pt idx="20">
                        <c:v>-6.3321042060852051</c:v>
                      </c:pt>
                      <c:pt idx="21">
                        <c:v>-6.4292097091674805</c:v>
                      </c:pt>
                      <c:pt idx="22">
                        <c:v>-6.5263152122497559</c:v>
                      </c:pt>
                      <c:pt idx="23">
                        <c:v>-6.6234211921691895</c:v>
                      </c:pt>
                      <c:pt idx="24">
                        <c:v>-6.720527172088623</c:v>
                      </c:pt>
                      <c:pt idx="25">
                        <c:v>-6.8176326751708984</c:v>
                      </c:pt>
                      <c:pt idx="26">
                        <c:v>-6.9112057685852051</c:v>
                      </c:pt>
                      <c:pt idx="27">
                        <c:v>-6.9978322982788086</c:v>
                      </c:pt>
                      <c:pt idx="28">
                        <c:v>-7.0859637260437012</c:v>
                      </c:pt>
                      <c:pt idx="29">
                        <c:v>-7.1751289367675781</c:v>
                      </c:pt>
                      <c:pt idx="30">
                        <c:v>-7.2653803825378418</c:v>
                      </c:pt>
                      <c:pt idx="31">
                        <c:v>-7.3582944869995117</c:v>
                      </c:pt>
                      <c:pt idx="32">
                        <c:v>-7.4636273384094238</c:v>
                      </c:pt>
                      <c:pt idx="33">
                        <c:v>-7.5767111778259277</c:v>
                      </c:pt>
                      <c:pt idx="34">
                        <c:v>-7.6897945404052734</c:v>
                      </c:pt>
                      <c:pt idx="35">
                        <c:v>-7.8028783798217773</c:v>
                      </c:pt>
                      <c:pt idx="36">
                        <c:v>-7.9159622192382813</c:v>
                      </c:pt>
                      <c:pt idx="37">
                        <c:v>-8.0290460586547852</c:v>
                      </c:pt>
                      <c:pt idx="38">
                        <c:v>-8.1728229522705078</c:v>
                      </c:pt>
                      <c:pt idx="39">
                        <c:v>-8.3254909515380859</c:v>
                      </c:pt>
                      <c:pt idx="40">
                        <c:v>-8.4844856262207031</c:v>
                      </c:pt>
                      <c:pt idx="41">
                        <c:v>-8.6584234237670898</c:v>
                      </c:pt>
                      <c:pt idx="42">
                        <c:v>-8.8357572555541992</c:v>
                      </c:pt>
                      <c:pt idx="43">
                        <c:v>-9.0138864517211914</c:v>
                      </c:pt>
                      <c:pt idx="44">
                        <c:v>-9.185577392578125</c:v>
                      </c:pt>
                      <c:pt idx="45">
                        <c:v>-9.357269287109375</c:v>
                      </c:pt>
                      <c:pt idx="46">
                        <c:v>-9.528961181640625</c:v>
                      </c:pt>
                      <c:pt idx="47">
                        <c:v>-9.7006521224975586</c:v>
                      </c:pt>
                      <c:pt idx="48">
                        <c:v>-9.8723440170288086</c:v>
                      </c:pt>
                      <c:pt idx="49">
                        <c:v>-10.03497314453125</c:v>
                      </c:pt>
                      <c:pt idx="50">
                        <c:v>-10.186200141906738</c:v>
                      </c:pt>
                      <c:pt idx="51">
                        <c:v>-10.337429046630859</c:v>
                      </c:pt>
                      <c:pt idx="52">
                        <c:v>-10.488656997680664</c:v>
                      </c:pt>
                      <c:pt idx="53">
                        <c:v>-10.639884948730469</c:v>
                      </c:pt>
                      <c:pt idx="54">
                        <c:v>-10.791112899780273</c:v>
                      </c:pt>
                      <c:pt idx="55">
                        <c:v>-10.92442798614502</c:v>
                      </c:pt>
                      <c:pt idx="56">
                        <c:v>-11.051542282104492</c:v>
                      </c:pt>
                      <c:pt idx="57">
                        <c:v>-11.178656578063965</c:v>
                      </c:pt>
                      <c:pt idx="58">
                        <c:v>-11.305771827697754</c:v>
                      </c:pt>
                      <c:pt idx="59">
                        <c:v>-11.432886123657227</c:v>
                      </c:pt>
                      <c:pt idx="60">
                        <c:v>-11.560000419616699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D4F-4BDB-8794-F0C705C012D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Answ2!$A$7:$B$7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Answ2!$C$7:$BK$7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-6.3782696723937988</c:v>
                      </c:pt>
                      <c:pt idx="1">
                        <c:v>-7.8665323257446289</c:v>
                      </c:pt>
                      <c:pt idx="2">
                        <c:v>-9.3547954559326172</c:v>
                      </c:pt>
                      <c:pt idx="3">
                        <c:v>-10.843058586120605</c:v>
                      </c:pt>
                      <c:pt idx="4">
                        <c:v>-12.331320762634277</c:v>
                      </c:pt>
                      <c:pt idx="5">
                        <c:v>-13.819583892822266</c:v>
                      </c:pt>
                      <c:pt idx="6">
                        <c:v>-15.307847023010254</c:v>
                      </c:pt>
                      <c:pt idx="7">
                        <c:v>-16.796110153198242</c:v>
                      </c:pt>
                      <c:pt idx="8">
                        <c:v>-18.284372329711914</c:v>
                      </c:pt>
                      <c:pt idx="9">
                        <c:v>-19.023544311523438</c:v>
                      </c:pt>
                      <c:pt idx="10">
                        <c:v>-19.031646728515625</c:v>
                      </c:pt>
                      <c:pt idx="11">
                        <c:v>-19.052604675292969</c:v>
                      </c:pt>
                      <c:pt idx="12">
                        <c:v>-19.082605361938477</c:v>
                      </c:pt>
                      <c:pt idx="13">
                        <c:v>-19.119043350219727</c:v>
                      </c:pt>
                      <c:pt idx="14">
                        <c:v>-19.160957336425781</c:v>
                      </c:pt>
                      <c:pt idx="15">
                        <c:v>-19.202873229980469</c:v>
                      </c:pt>
                      <c:pt idx="16">
                        <c:v>-19.247255325317383</c:v>
                      </c:pt>
                      <c:pt idx="17">
                        <c:v>-19.296157836914063</c:v>
                      </c:pt>
                      <c:pt idx="18">
                        <c:v>-19.151500701904297</c:v>
                      </c:pt>
                      <c:pt idx="19">
                        <c:v>-19.056188583374023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-19.857484817504883</c:v>
                      </c:pt>
                      <c:pt idx="39">
                        <c:v>-19.899171829223633</c:v>
                      </c:pt>
                      <c:pt idx="40">
                        <c:v>-19.940607070922852</c:v>
                      </c:pt>
                      <c:pt idx="41">
                        <c:v>-19.983030319213867</c:v>
                      </c:pt>
                      <c:pt idx="42">
                        <c:v>-20.021211624145508</c:v>
                      </c:pt>
                      <c:pt idx="43">
                        <c:v>-20.056791305541992</c:v>
                      </c:pt>
                      <c:pt idx="44">
                        <c:v>-20.093357086181641</c:v>
                      </c:pt>
                      <c:pt idx="45">
                        <c:v>-20.129924774169922</c:v>
                      </c:pt>
                      <c:pt idx="46">
                        <c:v>-20.166492462158203</c:v>
                      </c:pt>
                      <c:pt idx="47">
                        <c:v>-20.203060150146484</c:v>
                      </c:pt>
                      <c:pt idx="48">
                        <c:v>-20.239627838134766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-20.485490798950195</c:v>
                      </c:pt>
                      <c:pt idx="56">
                        <c:v>-20.520101547241211</c:v>
                      </c:pt>
                      <c:pt idx="57">
                        <c:v>-20.555454254150391</c:v>
                      </c:pt>
                      <c:pt idx="58">
                        <c:v>-20.583921432495117</c:v>
                      </c:pt>
                      <c:pt idx="59">
                        <c:v>-20.614646911621094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D4F-4BDB-8794-F0C705C012D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Answ2!$A$9:$B$9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Answ2!$C$9:$BK$9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-5.1475520133972168</c:v>
                      </c:pt>
                      <c:pt idx="1">
                        <c:v>-6.3486475944519043</c:v>
                      </c:pt>
                      <c:pt idx="2">
                        <c:v>-7.5497431755065918</c:v>
                      </c:pt>
                      <c:pt idx="3">
                        <c:v>-8.7508382797241211</c:v>
                      </c:pt>
                      <c:pt idx="4">
                        <c:v>-9.9519338607788086</c:v>
                      </c:pt>
                      <c:pt idx="5">
                        <c:v>-11.153029441833496</c:v>
                      </c:pt>
                      <c:pt idx="6">
                        <c:v>-12.354125022888184</c:v>
                      </c:pt>
                      <c:pt idx="7">
                        <c:v>-13.555220603942871</c:v>
                      </c:pt>
                      <c:pt idx="8">
                        <c:v>-14.756315231323242</c:v>
                      </c:pt>
                      <c:pt idx="9">
                        <c:v>-14.999189376831055</c:v>
                      </c:pt>
                      <c:pt idx="10">
                        <c:v>-14.246925354003906</c:v>
                      </c:pt>
                      <c:pt idx="11">
                        <c:v>-12.807805061340332</c:v>
                      </c:pt>
                      <c:pt idx="12">
                        <c:v>-11.264699935913086</c:v>
                      </c:pt>
                      <c:pt idx="13">
                        <c:v>-9.7102594375610352</c:v>
                      </c:pt>
                      <c:pt idx="14">
                        <c:v>-8.3207406997680664</c:v>
                      </c:pt>
                      <c:pt idx="15">
                        <c:v>-7.0670995712280273</c:v>
                      </c:pt>
                      <c:pt idx="16">
                        <c:v>-5.8993930816650391</c:v>
                      </c:pt>
                      <c:pt idx="17">
                        <c:v>-4.8207511901855469</c:v>
                      </c:pt>
                      <c:pt idx="18">
                        <c:v>-4.3518404960632324</c:v>
                      </c:pt>
                      <c:pt idx="19">
                        <c:v>-4.1693153381347656</c:v>
                      </c:pt>
                      <c:pt idx="20">
                        <c:v>-4.2266230583190918</c:v>
                      </c:pt>
                      <c:pt idx="21">
                        <c:v>-4.2842574119567871</c:v>
                      </c:pt>
                      <c:pt idx="22">
                        <c:v>-4.3418922424316406</c:v>
                      </c:pt>
                      <c:pt idx="23">
                        <c:v>-4.3995270729064941</c:v>
                      </c:pt>
                      <c:pt idx="24">
                        <c:v>-4.4571619033813477</c:v>
                      </c:pt>
                      <c:pt idx="25">
                        <c:v>-4.514796257019043</c:v>
                      </c:pt>
                      <c:pt idx="26">
                        <c:v>-4.5718564987182617</c:v>
                      </c:pt>
                      <c:pt idx="27">
                        <c:v>-4.6277866363525391</c:v>
                      </c:pt>
                      <c:pt idx="28">
                        <c:v>-4.6837167739868164</c:v>
                      </c:pt>
                      <c:pt idx="29">
                        <c:v>-4.7396469116210938</c:v>
                      </c:pt>
                      <c:pt idx="30">
                        <c:v>-4.7955770492553711</c:v>
                      </c:pt>
                      <c:pt idx="31">
                        <c:v>-4.8515071868896484</c:v>
                      </c:pt>
                      <c:pt idx="32">
                        <c:v>-4.9054999351501465</c:v>
                      </c:pt>
                      <c:pt idx="33">
                        <c:v>-4.9582839012145996</c:v>
                      </c:pt>
                      <c:pt idx="34">
                        <c:v>-5.0110678672790527</c:v>
                      </c:pt>
                      <c:pt idx="35">
                        <c:v>-5.0638523101806641</c:v>
                      </c:pt>
                      <c:pt idx="36">
                        <c:v>-5.1166362762451172</c:v>
                      </c:pt>
                      <c:pt idx="37">
                        <c:v>-5.1694202423095703</c:v>
                      </c:pt>
                      <c:pt idx="38">
                        <c:v>-5.2199821472167969</c:v>
                      </c:pt>
                      <c:pt idx="39">
                        <c:v>-5.2696866989135742</c:v>
                      </c:pt>
                      <c:pt idx="40">
                        <c:v>-5.3187170028686523</c:v>
                      </c:pt>
                      <c:pt idx="41">
                        <c:v>-5.3689188957214355</c:v>
                      </c:pt>
                      <c:pt idx="42">
                        <c:v>-5.4182729721069336</c:v>
                      </c:pt>
                      <c:pt idx="43">
                        <c:v>-5.4686393737792969</c:v>
                      </c:pt>
                      <c:pt idx="44">
                        <c:v>-5.5259280204772949</c:v>
                      </c:pt>
                      <c:pt idx="45">
                        <c:v>-5.583216667175293</c:v>
                      </c:pt>
                      <c:pt idx="46">
                        <c:v>-5.640505313873291</c:v>
                      </c:pt>
                      <c:pt idx="47">
                        <c:v>-5.6977934837341309</c:v>
                      </c:pt>
                      <c:pt idx="48">
                        <c:v>-5.7550821304321289</c:v>
                      </c:pt>
                      <c:pt idx="49">
                        <c:v>-5.8336944580078125</c:v>
                      </c:pt>
                      <c:pt idx="50">
                        <c:v>-5.9391326904296875</c:v>
                      </c:pt>
                      <c:pt idx="51">
                        <c:v>-6.0445713996887207</c:v>
                      </c:pt>
                      <c:pt idx="52">
                        <c:v>-6.1500101089477539</c:v>
                      </c:pt>
                      <c:pt idx="53">
                        <c:v>-6.2554483413696289</c:v>
                      </c:pt>
                      <c:pt idx="54">
                        <c:v>-6.3608870506286621</c:v>
                      </c:pt>
                      <c:pt idx="55">
                        <c:v>-6.4578433036804199</c:v>
                      </c:pt>
                      <c:pt idx="56">
                        <c:v>-6.5518684387207031</c:v>
                      </c:pt>
                      <c:pt idx="57">
                        <c:v>-6.645909309387207</c:v>
                      </c:pt>
                      <c:pt idx="58">
                        <c:v>-6.7351474761962891</c:v>
                      </c:pt>
                      <c:pt idx="59">
                        <c:v>-6.8233232498168945</c:v>
                      </c:pt>
                      <c:pt idx="6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D4F-4BDB-8794-F0C705C012D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Answ2!$A$10:$B$10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Answ2!$C$10:$BK$10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-7.3407106399536133</c:v>
                      </c:pt>
                      <c:pt idx="1">
                        <c:v>-9.0535430908203125</c:v>
                      </c:pt>
                      <c:pt idx="2">
                        <c:v>-10.766375541687012</c:v>
                      </c:pt>
                      <c:pt idx="3">
                        <c:v>-12.479207992553711</c:v>
                      </c:pt>
                      <c:pt idx="4">
                        <c:v>-14.192039489746094</c:v>
                      </c:pt>
                      <c:pt idx="5">
                        <c:v>-15.904872894287109</c:v>
                      </c:pt>
                      <c:pt idx="6">
                        <c:v>-17.617704391479492</c:v>
                      </c:pt>
                      <c:pt idx="7">
                        <c:v>-19.330537796020508</c:v>
                      </c:pt>
                      <c:pt idx="8">
                        <c:v>-21.043369293212891</c:v>
                      </c:pt>
                      <c:pt idx="9">
                        <c:v>-21.259248733520508</c:v>
                      </c:pt>
                      <c:pt idx="10">
                        <c:v>-20.102315902709961</c:v>
                      </c:pt>
                      <c:pt idx="11">
                        <c:v>-20.004510879516602</c:v>
                      </c:pt>
                      <c:pt idx="12">
                        <c:v>-20.196046829223633</c:v>
                      </c:pt>
                      <c:pt idx="13">
                        <c:v>-20.546855926513672</c:v>
                      </c:pt>
                      <c:pt idx="14">
                        <c:v>-20.903142929077148</c:v>
                      </c:pt>
                      <c:pt idx="15">
                        <c:v>-21.259429931640625</c:v>
                      </c:pt>
                      <c:pt idx="16">
                        <c:v>-21.618183135986328</c:v>
                      </c:pt>
                      <c:pt idx="17">
                        <c:v>-21.981456756591797</c:v>
                      </c:pt>
                      <c:pt idx="18">
                        <c:v>-22.332822799682617</c:v>
                      </c:pt>
                      <c:pt idx="19">
                        <c:v>-22.686107635498047</c:v>
                      </c:pt>
                      <c:pt idx="20">
                        <c:v>-23.041297912597656</c:v>
                      </c:pt>
                      <c:pt idx="21">
                        <c:v>-23.380119323730469</c:v>
                      </c:pt>
                      <c:pt idx="22">
                        <c:v>-23.718942642211914</c:v>
                      </c:pt>
                      <c:pt idx="23">
                        <c:v>-24.057764053344727</c:v>
                      </c:pt>
                      <c:pt idx="24">
                        <c:v>-24.396585464477539</c:v>
                      </c:pt>
                      <c:pt idx="25">
                        <c:v>-24.735408782958984</c:v>
                      </c:pt>
                      <c:pt idx="26">
                        <c:v>-25.066656112670898</c:v>
                      </c:pt>
                      <c:pt idx="27">
                        <c:v>-25.383010864257813</c:v>
                      </c:pt>
                      <c:pt idx="28">
                        <c:v>-25.699365615844727</c:v>
                      </c:pt>
                      <c:pt idx="29">
                        <c:v>-26.015720367431641</c:v>
                      </c:pt>
                      <c:pt idx="30">
                        <c:v>-26.332075119018555</c:v>
                      </c:pt>
                      <c:pt idx="31">
                        <c:v>-26.648429870605469</c:v>
                      </c:pt>
                      <c:pt idx="32">
                        <c:v>-26.955099105834961</c:v>
                      </c:pt>
                      <c:pt idx="33">
                        <c:v>-27.25572395324707</c:v>
                      </c:pt>
                      <c:pt idx="34">
                        <c:v>-27.556346893310547</c:v>
                      </c:pt>
                      <c:pt idx="35">
                        <c:v>-27.856971740722656</c:v>
                      </c:pt>
                      <c:pt idx="36">
                        <c:v>-28.157594680786133</c:v>
                      </c:pt>
                      <c:pt idx="37">
                        <c:v>-28.458219528198242</c:v>
                      </c:pt>
                      <c:pt idx="38">
                        <c:v>-28.746147155761719</c:v>
                      </c:pt>
                      <c:pt idx="39">
                        <c:v>-29.031005859375</c:v>
                      </c:pt>
                      <c:pt idx="40">
                        <c:v>-29.314142227172852</c:v>
                      </c:pt>
                      <c:pt idx="41">
                        <c:v>-29.604040145874023</c:v>
                      </c:pt>
                      <c:pt idx="42">
                        <c:v>-29.88969612121582</c:v>
                      </c:pt>
                      <c:pt idx="43">
                        <c:v>-30.170772552490234</c:v>
                      </c:pt>
                      <c:pt idx="44">
                        <c:v>-30.444154739379883</c:v>
                      </c:pt>
                      <c:pt idx="45">
                        <c:v>-30.717538833618164</c:v>
                      </c:pt>
                      <c:pt idx="46">
                        <c:v>-30.990921020507813</c:v>
                      </c:pt>
                      <c:pt idx="47">
                        <c:v>-31.264303207397461</c:v>
                      </c:pt>
                      <c:pt idx="48">
                        <c:v>-31.537687301635742</c:v>
                      </c:pt>
                      <c:pt idx="49">
                        <c:v>-31.808874130249023</c:v>
                      </c:pt>
                      <c:pt idx="50">
                        <c:v>-32.077293395996094</c:v>
                      </c:pt>
                      <c:pt idx="51">
                        <c:v>-32.345714569091797</c:v>
                      </c:pt>
                      <c:pt idx="52">
                        <c:v>-32.6141357421875</c:v>
                      </c:pt>
                      <c:pt idx="53">
                        <c:v>-32.882556915283203</c:v>
                      </c:pt>
                      <c:pt idx="54">
                        <c:v>-33.150978088378906</c:v>
                      </c:pt>
                      <c:pt idx="55">
                        <c:v>-33.40863037109375</c:v>
                      </c:pt>
                      <c:pt idx="56">
                        <c:v>-33.666767120361328</c:v>
                      </c:pt>
                      <c:pt idx="57">
                        <c:v>-33.935455322265625</c:v>
                      </c:pt>
                      <c:pt idx="58">
                        <c:v>-34.191276550292969</c:v>
                      </c:pt>
                      <c:pt idx="59">
                        <c:v>-34.448383331298828</c:v>
                      </c:pt>
                      <c:pt idx="6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D4F-4BDB-8794-F0C705C012D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Answ2!$A$11:$B$11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Answ2!$C$11:$BK$11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-6.3313207626342773</c:v>
                      </c:pt>
                      <c:pt idx="1">
                        <c:v>-7.808629035949707</c:v>
                      </c:pt>
                      <c:pt idx="2">
                        <c:v>-9.2859373092651367</c:v>
                      </c:pt>
                      <c:pt idx="3">
                        <c:v>-10.763245582580566</c:v>
                      </c:pt>
                      <c:pt idx="4">
                        <c:v>-12.24055290222168</c:v>
                      </c:pt>
                      <c:pt idx="5">
                        <c:v>-13.717862129211426</c:v>
                      </c:pt>
                      <c:pt idx="6">
                        <c:v>-15.195169448852539</c:v>
                      </c:pt>
                      <c:pt idx="7">
                        <c:v>-16.672477722167969</c:v>
                      </c:pt>
                      <c:pt idx="8">
                        <c:v>-18.149785995483398</c:v>
                      </c:pt>
                      <c:pt idx="9">
                        <c:v>-18.876455307006836</c:v>
                      </c:pt>
                      <c:pt idx="10">
                        <c:v>-18.871646881103516</c:v>
                      </c:pt>
                      <c:pt idx="11">
                        <c:v>-18.892604827880859</c:v>
                      </c:pt>
                      <c:pt idx="12">
                        <c:v>-18.918083190917969</c:v>
                      </c:pt>
                      <c:pt idx="13">
                        <c:v>-18.947534561157227</c:v>
                      </c:pt>
                      <c:pt idx="14">
                        <c:v>-18.982465744018555</c:v>
                      </c:pt>
                      <c:pt idx="15">
                        <c:v>-19.01739501953125</c:v>
                      </c:pt>
                      <c:pt idx="16">
                        <c:v>-19.047395706176758</c:v>
                      </c:pt>
                      <c:pt idx="17">
                        <c:v>-19.068353652954102</c:v>
                      </c:pt>
                      <c:pt idx="18">
                        <c:v>-18.998977661132813</c:v>
                      </c:pt>
                      <c:pt idx="19">
                        <c:v>-18.984170913696289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-19.85603141784668</c:v>
                      </c:pt>
                      <c:pt idx="39">
                        <c:v>-19.896320343017578</c:v>
                      </c:pt>
                      <c:pt idx="40">
                        <c:v>-19.936611175537109</c:v>
                      </c:pt>
                      <c:pt idx="41">
                        <c:v>-19.976902008056641</c:v>
                      </c:pt>
                      <c:pt idx="42">
                        <c:v>-20.017190933227539</c:v>
                      </c:pt>
                      <c:pt idx="43">
                        <c:v>-20.057645797729492</c:v>
                      </c:pt>
                      <c:pt idx="44">
                        <c:v>-20.098823547363281</c:v>
                      </c:pt>
                      <c:pt idx="45">
                        <c:v>-20.135757446289063</c:v>
                      </c:pt>
                      <c:pt idx="46">
                        <c:v>-20.170783996582031</c:v>
                      </c:pt>
                      <c:pt idx="47">
                        <c:v>-20.205097198486328</c:v>
                      </c:pt>
                      <c:pt idx="48">
                        <c:v>-20.240303039550781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-20.484577178955078</c:v>
                      </c:pt>
                      <c:pt idx="56">
                        <c:v>-20.517660140991211</c:v>
                      </c:pt>
                      <c:pt idx="57">
                        <c:v>-20.550745010375977</c:v>
                      </c:pt>
                      <c:pt idx="58">
                        <c:v>-20.583829879760742</c:v>
                      </c:pt>
                      <c:pt idx="59">
                        <c:v>-20.616914749145508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D4F-4BDB-8794-F0C705C012D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Answ2!$A$12:$B$12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Answ2!$C$12:$BK$12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-20.385646820068359</c:v>
                      </c:pt>
                      <c:pt idx="1">
                        <c:v>-25.142297744750977</c:v>
                      </c:pt>
                      <c:pt idx="2">
                        <c:v>-29.898948669433594</c:v>
                      </c:pt>
                      <c:pt idx="3">
                        <c:v>-34.655597686767578</c:v>
                      </c:pt>
                      <c:pt idx="4">
                        <c:v>-39.412250518798828</c:v>
                      </c:pt>
                      <c:pt idx="5">
                        <c:v>-44.168903350830078</c:v>
                      </c:pt>
                      <c:pt idx="6">
                        <c:v>-48.925552368164063</c:v>
                      </c:pt>
                      <c:pt idx="7">
                        <c:v>-53.682205200195313</c:v>
                      </c:pt>
                      <c:pt idx="8">
                        <c:v>-58.438850402832031</c:v>
                      </c:pt>
                      <c:pt idx="9">
                        <c:v>-58.320152282714844</c:v>
                      </c:pt>
                      <c:pt idx="10">
                        <c:v>-53.446193695068359</c:v>
                      </c:pt>
                      <c:pt idx="11">
                        <c:v>-48.688713073730469</c:v>
                      </c:pt>
                      <c:pt idx="12">
                        <c:v>-44.247692108154297</c:v>
                      </c:pt>
                      <c:pt idx="13">
                        <c:v>-40.117874145507813</c:v>
                      </c:pt>
                      <c:pt idx="14">
                        <c:v>-36.49212646484375</c:v>
                      </c:pt>
                      <c:pt idx="15">
                        <c:v>-33.343055725097656</c:v>
                      </c:pt>
                      <c:pt idx="16">
                        <c:v>-30.470527648925781</c:v>
                      </c:pt>
                      <c:pt idx="17">
                        <c:v>-27.864742279052734</c:v>
                      </c:pt>
                      <c:pt idx="18">
                        <c:v>-27.098289489746094</c:v>
                      </c:pt>
                      <c:pt idx="19">
                        <c:v>-27.245807647705078</c:v>
                      </c:pt>
                      <c:pt idx="20">
                        <c:v>-28.167087554931641</c:v>
                      </c:pt>
                      <c:pt idx="21">
                        <c:v>-29.07526969909668</c:v>
                      </c:pt>
                      <c:pt idx="22">
                        <c:v>-29.974630355834961</c:v>
                      </c:pt>
                      <c:pt idx="23">
                        <c:v>-30.864652633666992</c:v>
                      </c:pt>
                      <c:pt idx="24">
                        <c:v>-31.737903594970703</c:v>
                      </c:pt>
                      <c:pt idx="25">
                        <c:v>-32.595050811767578</c:v>
                      </c:pt>
                      <c:pt idx="26">
                        <c:v>-33.425758361816406</c:v>
                      </c:pt>
                      <c:pt idx="27">
                        <c:v>-34.214023590087891</c:v>
                      </c:pt>
                      <c:pt idx="28">
                        <c:v>-35.002285003662109</c:v>
                      </c:pt>
                      <c:pt idx="29">
                        <c:v>-35.790550231933594</c:v>
                      </c:pt>
                      <c:pt idx="30">
                        <c:v>-36.578815460205078</c:v>
                      </c:pt>
                      <c:pt idx="31">
                        <c:v>-37.367080688476563</c:v>
                      </c:pt>
                      <c:pt idx="32">
                        <c:v>-38.074634552001953</c:v>
                      </c:pt>
                      <c:pt idx="33">
                        <c:v>-38.7318115234375</c:v>
                      </c:pt>
                      <c:pt idx="34">
                        <c:v>-39.388988494873047</c:v>
                      </c:pt>
                      <c:pt idx="35">
                        <c:v>-40.046169281005859</c:v>
                      </c:pt>
                      <c:pt idx="36">
                        <c:v>-40.703350067138672</c:v>
                      </c:pt>
                      <c:pt idx="37">
                        <c:v>-41.360527038574219</c:v>
                      </c:pt>
                      <c:pt idx="38">
                        <c:v>-41.884304046630859</c:v>
                      </c:pt>
                      <c:pt idx="39">
                        <c:v>-42.392314910888672</c:v>
                      </c:pt>
                      <c:pt idx="40">
                        <c:v>-42.900321960449219</c:v>
                      </c:pt>
                      <c:pt idx="41">
                        <c:v>-43.408329010009766</c:v>
                      </c:pt>
                      <c:pt idx="42">
                        <c:v>-43.916339874267578</c:v>
                      </c:pt>
                      <c:pt idx="43">
                        <c:v>-44.40264892578125</c:v>
                      </c:pt>
                      <c:pt idx="44">
                        <c:v>-44.7938232421875</c:v>
                      </c:pt>
                      <c:pt idx="45">
                        <c:v>-45.167877197265625</c:v>
                      </c:pt>
                      <c:pt idx="46">
                        <c:v>-45.514900207519531</c:v>
                      </c:pt>
                      <c:pt idx="47">
                        <c:v>-45.816864013671875</c:v>
                      </c:pt>
                      <c:pt idx="48">
                        <c:v>-46.096363067626953</c:v>
                      </c:pt>
                      <c:pt idx="49">
                        <c:v>-46.316818237304688</c:v>
                      </c:pt>
                      <c:pt idx="50">
                        <c:v>-46.467693328857422</c:v>
                      </c:pt>
                      <c:pt idx="51">
                        <c:v>-46.618572235107422</c:v>
                      </c:pt>
                      <c:pt idx="52">
                        <c:v>-46.769451141357422</c:v>
                      </c:pt>
                      <c:pt idx="53">
                        <c:v>-46.920326232910156</c:v>
                      </c:pt>
                      <c:pt idx="54">
                        <c:v>-47.071205139160156</c:v>
                      </c:pt>
                      <c:pt idx="55">
                        <c:v>-47.076370239257813</c:v>
                      </c:pt>
                      <c:pt idx="56">
                        <c:v>-47.031093597412109</c:v>
                      </c:pt>
                      <c:pt idx="57">
                        <c:v>-46.985820770263672</c:v>
                      </c:pt>
                      <c:pt idx="58">
                        <c:v>-46.940547943115234</c:v>
                      </c:pt>
                      <c:pt idx="59">
                        <c:v>-46.895271301269531</c:v>
                      </c:pt>
                      <c:pt idx="6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D4F-4BDB-8794-F0C705C012D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Answ2!$A$13:$B$13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Answ2!$C$13:$BK$13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-5.3655261993408203</c:v>
                      </c:pt>
                      <c:pt idx="1">
                        <c:v>-6.6174826622009277</c:v>
                      </c:pt>
                      <c:pt idx="2">
                        <c:v>-7.869438648223877</c:v>
                      </c:pt>
                      <c:pt idx="3">
                        <c:v>-9.1213951110839844</c:v>
                      </c:pt>
                      <c:pt idx="4">
                        <c:v>-10.373350143432617</c:v>
                      </c:pt>
                      <c:pt idx="5">
                        <c:v>-11.625307083129883</c:v>
                      </c:pt>
                      <c:pt idx="6">
                        <c:v>-12.877263069152832</c:v>
                      </c:pt>
                      <c:pt idx="7">
                        <c:v>-14.129220008850098</c:v>
                      </c:pt>
                      <c:pt idx="8">
                        <c:v>-15.38117504119873</c:v>
                      </c:pt>
                      <c:pt idx="9">
                        <c:v>-15.262943267822266</c:v>
                      </c:pt>
                      <c:pt idx="10">
                        <c:v>-13.789361000061035</c:v>
                      </c:pt>
                      <c:pt idx="11">
                        <c:v>-12.126687049865723</c:v>
                      </c:pt>
                      <c:pt idx="12">
                        <c:v>-10.548101425170898</c:v>
                      </c:pt>
                      <c:pt idx="13">
                        <c:v>-9.0846872329711914</c:v>
                      </c:pt>
                      <c:pt idx="14">
                        <c:v>-7.8733124732971191</c:v>
                      </c:pt>
                      <c:pt idx="15">
                        <c:v>-7.0317697525024414</c:v>
                      </c:pt>
                      <c:pt idx="16">
                        <c:v>-6.4600667953491211</c:v>
                      </c:pt>
                      <c:pt idx="17">
                        <c:v>-6.1966938972473145</c:v>
                      </c:pt>
                      <c:pt idx="18">
                        <c:v>-6.6001896858215332</c:v>
                      </c:pt>
                      <c:pt idx="19">
                        <c:v>-6.8364529609680176</c:v>
                      </c:pt>
                      <c:pt idx="20">
                        <c:v>-6.8456788063049316</c:v>
                      </c:pt>
                      <c:pt idx="21">
                        <c:v>-6.8882932662963867</c:v>
                      </c:pt>
                      <c:pt idx="22">
                        <c:v>-6.9379658699035645</c:v>
                      </c:pt>
                      <c:pt idx="23">
                        <c:v>-6.9923171997070313</c:v>
                      </c:pt>
                      <c:pt idx="24">
                        <c:v>-7.0489039421081543</c:v>
                      </c:pt>
                      <c:pt idx="25">
                        <c:v>-7.1054911613464355</c:v>
                      </c:pt>
                      <c:pt idx="26">
                        <c:v>-7.1618566513061523</c:v>
                      </c:pt>
                      <c:pt idx="27">
                        <c:v>-7.2177867889404297</c:v>
                      </c:pt>
                      <c:pt idx="28">
                        <c:v>-7.2737164497375488</c:v>
                      </c:pt>
                      <c:pt idx="29">
                        <c:v>-7.3296465873718262</c:v>
                      </c:pt>
                      <c:pt idx="30">
                        <c:v>-7.3855767250061035</c:v>
                      </c:pt>
                      <c:pt idx="31">
                        <c:v>-7.4415068626403809</c:v>
                      </c:pt>
                      <c:pt idx="32">
                        <c:v>-7.4954996109008789</c:v>
                      </c:pt>
                      <c:pt idx="33">
                        <c:v>-7.548283576965332</c:v>
                      </c:pt>
                      <c:pt idx="34">
                        <c:v>-7.6010675430297852</c:v>
                      </c:pt>
                      <c:pt idx="35">
                        <c:v>-7.6538519859313965</c:v>
                      </c:pt>
                      <c:pt idx="36">
                        <c:v>-7.7066359519958496</c:v>
                      </c:pt>
                      <c:pt idx="37">
                        <c:v>-7.7594199180603027</c:v>
                      </c:pt>
                      <c:pt idx="38">
                        <c:v>-7.8093338012695313</c:v>
                      </c:pt>
                      <c:pt idx="39">
                        <c:v>-7.8589086532592773</c:v>
                      </c:pt>
                      <c:pt idx="40">
                        <c:v>-7.9084830284118652</c:v>
                      </c:pt>
                      <c:pt idx="41">
                        <c:v>-7.9580578804016113</c:v>
                      </c:pt>
                      <c:pt idx="42">
                        <c:v>-8.0076322555541992</c:v>
                      </c:pt>
                      <c:pt idx="43">
                        <c:v>-8.0566673278808594</c:v>
                      </c:pt>
                      <c:pt idx="44">
                        <c:v>-8.1033334732055664</c:v>
                      </c:pt>
                      <c:pt idx="45">
                        <c:v>-8.1500005722045898</c:v>
                      </c:pt>
                      <c:pt idx="46">
                        <c:v>-8.1962356567382813</c:v>
                      </c:pt>
                      <c:pt idx="47">
                        <c:v>-8.2415294647216797</c:v>
                      </c:pt>
                      <c:pt idx="48">
                        <c:v>-8.2873935699462891</c:v>
                      </c:pt>
                      <c:pt idx="49">
                        <c:v>-8.3322677612304688</c:v>
                      </c:pt>
                      <c:pt idx="50">
                        <c:v>-8.3757762908935547</c:v>
                      </c:pt>
                      <c:pt idx="51">
                        <c:v>-8.419285774230957</c:v>
                      </c:pt>
                      <c:pt idx="52">
                        <c:v>-8.462794303894043</c:v>
                      </c:pt>
                      <c:pt idx="53">
                        <c:v>-8.5063028335571289</c:v>
                      </c:pt>
                      <c:pt idx="54">
                        <c:v>-8.5498123168945313</c:v>
                      </c:pt>
                      <c:pt idx="55">
                        <c:v>-8.5912685394287109</c:v>
                      </c:pt>
                      <c:pt idx="56">
                        <c:v>-8.6320152282714844</c:v>
                      </c:pt>
                      <c:pt idx="57">
                        <c:v>-8.6727609634399414</c:v>
                      </c:pt>
                      <c:pt idx="58">
                        <c:v>-8.7135076522827148</c:v>
                      </c:pt>
                      <c:pt idx="59">
                        <c:v>-8.7542533874511719</c:v>
                      </c:pt>
                      <c:pt idx="6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D4F-4BDB-8794-F0C705C012D6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Answ2!$A$14:$B$14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Answ2!$C$14:$BK$14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-7.4245467185974121</c:v>
                      </c:pt>
                      <c:pt idx="1">
                        <c:v>-9.1569414138793945</c:v>
                      </c:pt>
                      <c:pt idx="2">
                        <c:v>-10.889335632324219</c:v>
                      </c:pt>
                      <c:pt idx="3">
                        <c:v>-12.621729850769043</c:v>
                      </c:pt>
                      <c:pt idx="4">
                        <c:v>-14.354123115539551</c:v>
                      </c:pt>
                      <c:pt idx="5">
                        <c:v>-16.086519241333008</c:v>
                      </c:pt>
                      <c:pt idx="6">
                        <c:v>-17.818912506103516</c:v>
                      </c:pt>
                      <c:pt idx="7">
                        <c:v>-19.551307678222656</c:v>
                      </c:pt>
                      <c:pt idx="8">
                        <c:v>-21.283700942993164</c:v>
                      </c:pt>
                      <c:pt idx="9">
                        <c:v>-21.842342376708984</c:v>
                      </c:pt>
                      <c:pt idx="10">
                        <c:v>-21.304939270019531</c:v>
                      </c:pt>
                      <c:pt idx="11">
                        <c:v>-21.367813110351563</c:v>
                      </c:pt>
                      <c:pt idx="12">
                        <c:v>-21.575359344482422</c:v>
                      </c:pt>
                      <c:pt idx="13">
                        <c:v>-21.858772277832031</c:v>
                      </c:pt>
                      <c:pt idx="14">
                        <c:v>-22.131227493286133</c:v>
                      </c:pt>
                      <c:pt idx="15">
                        <c:v>-22.348892211914063</c:v>
                      </c:pt>
                      <c:pt idx="16">
                        <c:v>-22.556417465209961</c:v>
                      </c:pt>
                      <c:pt idx="17">
                        <c:v>-22.772985458374023</c:v>
                      </c:pt>
                      <c:pt idx="18">
                        <c:v>-22.951412200927734</c:v>
                      </c:pt>
                      <c:pt idx="19">
                        <c:v>-23.209201812744141</c:v>
                      </c:pt>
                      <c:pt idx="20">
                        <c:v>-23.551956176757813</c:v>
                      </c:pt>
                      <c:pt idx="21">
                        <c:v>-23.90125846862793</c:v>
                      </c:pt>
                      <c:pt idx="22">
                        <c:v>-24.241737365722656</c:v>
                      </c:pt>
                      <c:pt idx="23">
                        <c:v>-24.577066421508789</c:v>
                      </c:pt>
                      <c:pt idx="24">
                        <c:v>-24.912395477294922</c:v>
                      </c:pt>
                      <c:pt idx="25">
                        <c:v>-25.247724533081055</c:v>
                      </c:pt>
                      <c:pt idx="26">
                        <c:v>-25.576656341552734</c:v>
                      </c:pt>
                      <c:pt idx="27">
                        <c:v>-25.893011093139648</c:v>
                      </c:pt>
                      <c:pt idx="28">
                        <c:v>-26.209365844726563</c:v>
                      </c:pt>
                      <c:pt idx="29">
                        <c:v>-26.525720596313477</c:v>
                      </c:pt>
                      <c:pt idx="30">
                        <c:v>-26.842075347900391</c:v>
                      </c:pt>
                      <c:pt idx="31">
                        <c:v>-27.158430099487305</c:v>
                      </c:pt>
                      <c:pt idx="32">
                        <c:v>-27.465099334716797</c:v>
                      </c:pt>
                      <c:pt idx="33">
                        <c:v>-27.765724182128906</c:v>
                      </c:pt>
                      <c:pt idx="34">
                        <c:v>-28.066347122192383</c:v>
                      </c:pt>
                      <c:pt idx="35">
                        <c:v>-28.366971969604492</c:v>
                      </c:pt>
                      <c:pt idx="36">
                        <c:v>-28.667594909667969</c:v>
                      </c:pt>
                      <c:pt idx="37">
                        <c:v>-28.968219757080078</c:v>
                      </c:pt>
                      <c:pt idx="38">
                        <c:v>-29.255350112915039</c:v>
                      </c:pt>
                      <c:pt idx="39">
                        <c:v>-29.540885925292969</c:v>
                      </c:pt>
                      <c:pt idx="40">
                        <c:v>-29.826421737670898</c:v>
                      </c:pt>
                      <c:pt idx="41">
                        <c:v>-30.111955642700195</c:v>
                      </c:pt>
                      <c:pt idx="42">
                        <c:v>-30.397491455078125</c:v>
                      </c:pt>
                      <c:pt idx="43">
                        <c:v>-30.680980682373047</c:v>
                      </c:pt>
                      <c:pt idx="44">
                        <c:v>-30.955490112304688</c:v>
                      </c:pt>
                      <c:pt idx="45">
                        <c:v>-31.23090934753418</c:v>
                      </c:pt>
                      <c:pt idx="46">
                        <c:v>-31.504117965698242</c:v>
                      </c:pt>
                      <c:pt idx="47">
                        <c:v>-31.771762847900391</c:v>
                      </c:pt>
                      <c:pt idx="48">
                        <c:v>-32.046363830566406</c:v>
                      </c:pt>
                      <c:pt idx="49">
                        <c:v>-32.318874359130859</c:v>
                      </c:pt>
                      <c:pt idx="50">
                        <c:v>-32.587291717529297</c:v>
                      </c:pt>
                      <c:pt idx="51">
                        <c:v>-32.855712890625</c:v>
                      </c:pt>
                      <c:pt idx="52">
                        <c:v>-33.124134063720703</c:v>
                      </c:pt>
                      <c:pt idx="53">
                        <c:v>-33.392555236816406</c:v>
                      </c:pt>
                      <c:pt idx="54">
                        <c:v>-33.660976409912109</c:v>
                      </c:pt>
                      <c:pt idx="55">
                        <c:v>-33.922737121582031</c:v>
                      </c:pt>
                      <c:pt idx="56">
                        <c:v>-34.18218994140625</c:v>
                      </c:pt>
                      <c:pt idx="57">
                        <c:v>-34.441642761230469</c:v>
                      </c:pt>
                      <c:pt idx="58">
                        <c:v>-34.701095581054688</c:v>
                      </c:pt>
                      <c:pt idx="59">
                        <c:v>-34.960548400878906</c:v>
                      </c:pt>
                      <c:pt idx="6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D4F-4BDB-8794-F0C705C012D6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013507860053206"/>
          <c:y val="9.4938931641051494E-2"/>
          <c:w val="0.81696879530826061"/>
          <c:h val="0.7544086929630337"/>
        </c:manualLayout>
      </c:layout>
      <c:scatterChart>
        <c:scatterStyle val="smoothMarker"/>
        <c:varyColors val="0"/>
        <c:ser>
          <c:idx val="3"/>
          <c:order val="3"/>
          <c:tx>
            <c:strRef>
              <c:f>Answ2!$A$6:$B$6</c:f>
              <c:strCache>
                <c:ptCount val="2"/>
                <c:pt idx="0">
                  <c:v>Fluid</c:v>
                </c:pt>
                <c:pt idx="1">
                  <c:v>H(Se)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Answ2!$C$6:$BK$6</c:f>
              <c:numCache>
                <c:formatCode>General</c:formatCode>
                <c:ptCount val="61"/>
                <c:pt idx="0">
                  <c:v>-1.6177061796188354</c:v>
                </c:pt>
                <c:pt idx="1">
                  <c:v>-1.9951709508895874</c:v>
                </c:pt>
                <c:pt idx="2">
                  <c:v>-2.3726358413696289</c:v>
                </c:pt>
                <c:pt idx="3">
                  <c:v>-2.7501003742218018</c:v>
                </c:pt>
                <c:pt idx="4">
                  <c:v>-3.1275651454925537</c:v>
                </c:pt>
                <c:pt idx="5">
                  <c:v>-3.5050299167633057</c:v>
                </c:pt>
                <c:pt idx="6">
                  <c:v>-3.8824946880340576</c:v>
                </c:pt>
                <c:pt idx="7">
                  <c:v>-4.2599596977233887</c:v>
                </c:pt>
                <c:pt idx="8">
                  <c:v>-4.6374239921569824</c:v>
                </c:pt>
                <c:pt idx="9">
                  <c:v>-4.8921480178833008</c:v>
                </c:pt>
                <c:pt idx="10">
                  <c:v>-5.0269045829772949</c:v>
                </c:pt>
                <c:pt idx="11">
                  <c:v>-5.1616611480712891</c:v>
                </c:pt>
                <c:pt idx="12">
                  <c:v>-5.2964177131652832</c:v>
                </c:pt>
                <c:pt idx="13">
                  <c:v>-5.4311742782592773</c:v>
                </c:pt>
                <c:pt idx="14">
                  <c:v>-5.5659308433532715</c:v>
                </c:pt>
                <c:pt idx="15">
                  <c:v>-5.7007455825805664</c:v>
                </c:pt>
                <c:pt idx="16">
                  <c:v>-5.8340969085693359</c:v>
                </c:pt>
                <c:pt idx="17">
                  <c:v>-5.9647355079650879</c:v>
                </c:pt>
                <c:pt idx="18">
                  <c:v>-6.0912165641784668</c:v>
                </c:pt>
                <c:pt idx="19">
                  <c:v>-6.214047908782959</c:v>
                </c:pt>
                <c:pt idx="20">
                  <c:v>-6.3321042060852051</c:v>
                </c:pt>
                <c:pt idx="21">
                  <c:v>-6.4292097091674805</c:v>
                </c:pt>
                <c:pt idx="22">
                  <c:v>-6.5263152122497559</c:v>
                </c:pt>
                <c:pt idx="23">
                  <c:v>-6.6234211921691895</c:v>
                </c:pt>
                <c:pt idx="24">
                  <c:v>-6.720527172088623</c:v>
                </c:pt>
                <c:pt idx="25">
                  <c:v>-6.8176326751708984</c:v>
                </c:pt>
                <c:pt idx="26">
                  <c:v>-6.9112057685852051</c:v>
                </c:pt>
                <c:pt idx="27">
                  <c:v>-6.9978322982788086</c:v>
                </c:pt>
                <c:pt idx="28">
                  <c:v>-7.0859637260437012</c:v>
                </c:pt>
                <c:pt idx="29">
                  <c:v>-7.1751289367675781</c:v>
                </c:pt>
                <c:pt idx="30">
                  <c:v>-7.2653803825378418</c:v>
                </c:pt>
                <c:pt idx="31">
                  <c:v>-7.3582944869995117</c:v>
                </c:pt>
                <c:pt idx="32">
                  <c:v>-7.4636273384094238</c:v>
                </c:pt>
                <c:pt idx="33">
                  <c:v>-7.5767111778259277</c:v>
                </c:pt>
                <c:pt idx="34">
                  <c:v>-7.6897945404052734</c:v>
                </c:pt>
                <c:pt idx="35">
                  <c:v>-7.8028783798217773</c:v>
                </c:pt>
                <c:pt idx="36">
                  <c:v>-7.9159622192382813</c:v>
                </c:pt>
                <c:pt idx="37">
                  <c:v>-8.0290460586547852</c:v>
                </c:pt>
                <c:pt idx="38">
                  <c:v>-8.1728229522705078</c:v>
                </c:pt>
                <c:pt idx="39">
                  <c:v>-8.3254909515380859</c:v>
                </c:pt>
                <c:pt idx="40">
                  <c:v>-8.4844856262207031</c:v>
                </c:pt>
                <c:pt idx="41">
                  <c:v>-8.6584234237670898</c:v>
                </c:pt>
                <c:pt idx="42">
                  <c:v>-8.8357572555541992</c:v>
                </c:pt>
                <c:pt idx="43">
                  <c:v>-9.0138864517211914</c:v>
                </c:pt>
                <c:pt idx="44">
                  <c:v>-9.185577392578125</c:v>
                </c:pt>
                <c:pt idx="45">
                  <c:v>-9.357269287109375</c:v>
                </c:pt>
                <c:pt idx="46">
                  <c:v>-9.528961181640625</c:v>
                </c:pt>
                <c:pt idx="47">
                  <c:v>-9.7006521224975586</c:v>
                </c:pt>
                <c:pt idx="48">
                  <c:v>-9.8723440170288086</c:v>
                </c:pt>
                <c:pt idx="49">
                  <c:v>-10.03497314453125</c:v>
                </c:pt>
                <c:pt idx="50">
                  <c:v>-10.186200141906738</c:v>
                </c:pt>
                <c:pt idx="51">
                  <c:v>-10.337429046630859</c:v>
                </c:pt>
                <c:pt idx="52">
                  <c:v>-10.488656997680664</c:v>
                </c:pt>
                <c:pt idx="53">
                  <c:v>-10.639884948730469</c:v>
                </c:pt>
                <c:pt idx="54">
                  <c:v>-10.791112899780273</c:v>
                </c:pt>
                <c:pt idx="55">
                  <c:v>-10.92442798614502</c:v>
                </c:pt>
                <c:pt idx="56">
                  <c:v>-11.051542282104492</c:v>
                </c:pt>
                <c:pt idx="57">
                  <c:v>-11.178656578063965</c:v>
                </c:pt>
                <c:pt idx="58">
                  <c:v>-11.305771827697754</c:v>
                </c:pt>
                <c:pt idx="59">
                  <c:v>-11.432886123657227</c:v>
                </c:pt>
                <c:pt idx="60">
                  <c:v>-11.560000419616699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AB-4EBF-9A5F-D0240C581234}"/>
            </c:ext>
          </c:extLst>
        </c:ser>
        <c:ser>
          <c:idx val="7"/>
          <c:order val="7"/>
          <c:tx>
            <c:strRef>
              <c:f>Answ2!$A$10:$B$10</c:f>
              <c:strCache>
                <c:ptCount val="2"/>
                <c:pt idx="0">
                  <c:v>Solid</c:v>
                </c:pt>
                <c:pt idx="1">
                  <c:v>H(Se)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Answ2!$C$10:$BK$10</c:f>
              <c:numCache>
                <c:formatCode>General</c:formatCode>
                <c:ptCount val="61"/>
                <c:pt idx="0">
                  <c:v>-7.3407106399536133</c:v>
                </c:pt>
                <c:pt idx="1">
                  <c:v>-9.0535430908203125</c:v>
                </c:pt>
                <c:pt idx="2">
                  <c:v>-10.766375541687012</c:v>
                </c:pt>
                <c:pt idx="3">
                  <c:v>-12.479207992553711</c:v>
                </c:pt>
                <c:pt idx="4">
                  <c:v>-14.192039489746094</c:v>
                </c:pt>
                <c:pt idx="5">
                  <c:v>-15.904872894287109</c:v>
                </c:pt>
                <c:pt idx="6">
                  <c:v>-17.617704391479492</c:v>
                </c:pt>
                <c:pt idx="7">
                  <c:v>-19.330537796020508</c:v>
                </c:pt>
                <c:pt idx="8">
                  <c:v>-21.043369293212891</c:v>
                </c:pt>
                <c:pt idx="9">
                  <c:v>-21.259248733520508</c:v>
                </c:pt>
                <c:pt idx="10">
                  <c:v>-20.102315902709961</c:v>
                </c:pt>
                <c:pt idx="11">
                  <c:v>-20.004510879516602</c:v>
                </c:pt>
                <c:pt idx="12">
                  <c:v>-20.196046829223633</c:v>
                </c:pt>
                <c:pt idx="13">
                  <c:v>-20.546855926513672</c:v>
                </c:pt>
                <c:pt idx="14">
                  <c:v>-20.903142929077148</c:v>
                </c:pt>
                <c:pt idx="15">
                  <c:v>-21.259429931640625</c:v>
                </c:pt>
                <c:pt idx="16">
                  <c:v>-21.618183135986328</c:v>
                </c:pt>
                <c:pt idx="17">
                  <c:v>-21.981456756591797</c:v>
                </c:pt>
                <c:pt idx="18">
                  <c:v>-22.332822799682617</c:v>
                </c:pt>
                <c:pt idx="19">
                  <c:v>-22.686107635498047</c:v>
                </c:pt>
                <c:pt idx="20">
                  <c:v>-23.041297912597656</c:v>
                </c:pt>
                <c:pt idx="21">
                  <c:v>-23.380119323730469</c:v>
                </c:pt>
                <c:pt idx="22">
                  <c:v>-23.718942642211914</c:v>
                </c:pt>
                <c:pt idx="23">
                  <c:v>-24.057764053344727</c:v>
                </c:pt>
                <c:pt idx="24">
                  <c:v>-24.396585464477539</c:v>
                </c:pt>
                <c:pt idx="25">
                  <c:v>-24.735408782958984</c:v>
                </c:pt>
                <c:pt idx="26">
                  <c:v>-25.066656112670898</c:v>
                </c:pt>
                <c:pt idx="27">
                  <c:v>-25.383010864257813</c:v>
                </c:pt>
                <c:pt idx="28">
                  <c:v>-25.699365615844727</c:v>
                </c:pt>
                <c:pt idx="29">
                  <c:v>-26.015720367431641</c:v>
                </c:pt>
                <c:pt idx="30">
                  <c:v>-26.332075119018555</c:v>
                </c:pt>
                <c:pt idx="31">
                  <c:v>-26.648429870605469</c:v>
                </c:pt>
                <c:pt idx="32">
                  <c:v>-26.955099105834961</c:v>
                </c:pt>
                <c:pt idx="33">
                  <c:v>-27.25572395324707</c:v>
                </c:pt>
                <c:pt idx="34">
                  <c:v>-27.556346893310547</c:v>
                </c:pt>
                <c:pt idx="35">
                  <c:v>-27.856971740722656</c:v>
                </c:pt>
                <c:pt idx="36">
                  <c:v>-28.157594680786133</c:v>
                </c:pt>
                <c:pt idx="37">
                  <c:v>-28.458219528198242</c:v>
                </c:pt>
                <c:pt idx="38">
                  <c:v>-28.746147155761719</c:v>
                </c:pt>
                <c:pt idx="39">
                  <c:v>-29.031005859375</c:v>
                </c:pt>
                <c:pt idx="40">
                  <c:v>-29.314142227172852</c:v>
                </c:pt>
                <c:pt idx="41">
                  <c:v>-29.604040145874023</c:v>
                </c:pt>
                <c:pt idx="42">
                  <c:v>-29.88969612121582</c:v>
                </c:pt>
                <c:pt idx="43">
                  <c:v>-30.170772552490234</c:v>
                </c:pt>
                <c:pt idx="44">
                  <c:v>-30.444154739379883</c:v>
                </c:pt>
                <c:pt idx="45">
                  <c:v>-30.717538833618164</c:v>
                </c:pt>
                <c:pt idx="46">
                  <c:v>-30.990921020507813</c:v>
                </c:pt>
                <c:pt idx="47">
                  <c:v>-31.264303207397461</c:v>
                </c:pt>
                <c:pt idx="48">
                  <c:v>-31.537687301635742</c:v>
                </c:pt>
                <c:pt idx="49">
                  <c:v>-31.808874130249023</c:v>
                </c:pt>
                <c:pt idx="50">
                  <c:v>-32.077293395996094</c:v>
                </c:pt>
                <c:pt idx="51">
                  <c:v>-32.345714569091797</c:v>
                </c:pt>
                <c:pt idx="52">
                  <c:v>-32.6141357421875</c:v>
                </c:pt>
                <c:pt idx="53">
                  <c:v>-32.882556915283203</c:v>
                </c:pt>
                <c:pt idx="54">
                  <c:v>-33.150978088378906</c:v>
                </c:pt>
                <c:pt idx="55">
                  <c:v>-33.40863037109375</c:v>
                </c:pt>
                <c:pt idx="56">
                  <c:v>-33.666767120361328</c:v>
                </c:pt>
                <c:pt idx="57">
                  <c:v>-33.935455322265625</c:v>
                </c:pt>
                <c:pt idx="58">
                  <c:v>-34.191276550292969</c:v>
                </c:pt>
                <c:pt idx="59">
                  <c:v>-34.448383331298828</c:v>
                </c:pt>
                <c:pt idx="6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EAB-4EBF-9A5F-D0240C581234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Answ2!$A$1:$A$2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Answ2!$B$1:$B$2</c:f>
              <c:numCache>
                <c:formatCode>General</c:formatCode>
                <c:ptCount val="2"/>
                <c:pt idx="0">
                  <c:v>-200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EAB-4EBF-9A5F-D0240C581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Answ2!$A$3:$B$3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H(Аг)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Answ2!$C$3:$BK$3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-6.2407779693603516</c:v>
                      </c:pt>
                      <c:pt idx="1">
                        <c:v>-7.6969594955444336</c:v>
                      </c:pt>
                      <c:pt idx="2">
                        <c:v>-9.1531410217285156</c:v>
                      </c:pt>
                      <c:pt idx="3">
                        <c:v>-10.609322547912598</c:v>
                      </c:pt>
                      <c:pt idx="4">
                        <c:v>-12.06550407409668</c:v>
                      </c:pt>
                      <c:pt idx="5">
                        <c:v>-13.521685600280762</c:v>
                      </c:pt>
                      <c:pt idx="6">
                        <c:v>-14.977867126464844</c:v>
                      </c:pt>
                      <c:pt idx="7">
                        <c:v>-16.434049606323242</c:v>
                      </c:pt>
                      <c:pt idx="8">
                        <c:v>-17.890230178833008</c:v>
                      </c:pt>
                      <c:pt idx="9">
                        <c:v>-18.623258590698242</c:v>
                      </c:pt>
                      <c:pt idx="10">
                        <c:v>-18.649477005004883</c:v>
                      </c:pt>
                      <c:pt idx="11">
                        <c:v>-18.675693511962891</c:v>
                      </c:pt>
                      <c:pt idx="12">
                        <c:v>-18.701910018920898</c:v>
                      </c:pt>
                      <c:pt idx="13">
                        <c:v>-18.728128433227539</c:v>
                      </c:pt>
                      <c:pt idx="14">
                        <c:v>-18.754344940185547</c:v>
                      </c:pt>
                      <c:pt idx="15">
                        <c:v>-18.79835319519043</c:v>
                      </c:pt>
                      <c:pt idx="16">
                        <c:v>-18.847255706787109</c:v>
                      </c:pt>
                      <c:pt idx="17">
                        <c:v>-18.896158218383789</c:v>
                      </c:pt>
                      <c:pt idx="18">
                        <c:v>-18.945194244384766</c:v>
                      </c:pt>
                      <c:pt idx="19">
                        <c:v>-19.001077651977539</c:v>
                      </c:pt>
                      <c:pt idx="20">
                        <c:v>-19.065269470214844</c:v>
                      </c:pt>
                      <c:pt idx="21">
                        <c:v>-19.149101257324219</c:v>
                      </c:pt>
                      <c:pt idx="22">
                        <c:v>-19.232934951782227</c:v>
                      </c:pt>
                      <c:pt idx="23">
                        <c:v>-19.316766738891602</c:v>
                      </c:pt>
                      <c:pt idx="24">
                        <c:v>-19.400598526000977</c:v>
                      </c:pt>
                      <c:pt idx="25">
                        <c:v>-19.484432220458984</c:v>
                      </c:pt>
                      <c:pt idx="26">
                        <c:v>-19.565908432006836</c:v>
                      </c:pt>
                      <c:pt idx="27">
                        <c:v>-19.642753601074219</c:v>
                      </c:pt>
                      <c:pt idx="28">
                        <c:v>-19.719810485839844</c:v>
                      </c:pt>
                      <c:pt idx="29">
                        <c:v>-19.790090560913086</c:v>
                      </c:pt>
                      <c:pt idx="30">
                        <c:v>-19.853294372558594</c:v>
                      </c:pt>
                      <c:pt idx="31">
                        <c:v>-19.923154830932617</c:v>
                      </c:pt>
                      <c:pt idx="32">
                        <c:v>-20.000579833984375</c:v>
                      </c:pt>
                      <c:pt idx="33">
                        <c:v>-20.082727432250977</c:v>
                      </c:pt>
                      <c:pt idx="34">
                        <c:v>-20.164875030517578</c:v>
                      </c:pt>
                      <c:pt idx="35">
                        <c:v>-20.247020721435547</c:v>
                      </c:pt>
                      <c:pt idx="36">
                        <c:v>-20.329168319702148</c:v>
                      </c:pt>
                      <c:pt idx="37">
                        <c:v>-20.41131591796875</c:v>
                      </c:pt>
                      <c:pt idx="38">
                        <c:v>-20.494970321655273</c:v>
                      </c:pt>
                      <c:pt idx="39">
                        <c:v>-20.578344345092773</c:v>
                      </c:pt>
                      <c:pt idx="40">
                        <c:v>-20.6610107421875</c:v>
                      </c:pt>
                      <c:pt idx="41">
                        <c:v>-20.731718063354492</c:v>
                      </c:pt>
                      <c:pt idx="42">
                        <c:v>-20.798181533813477</c:v>
                      </c:pt>
                      <c:pt idx="43">
                        <c:v>-20.858732223510742</c:v>
                      </c:pt>
                      <c:pt idx="44">
                        <c:v>-20.905746459960938</c:v>
                      </c:pt>
                      <c:pt idx="45">
                        <c:v>-20.952762603759766</c:v>
                      </c:pt>
                      <c:pt idx="46">
                        <c:v>-20.999776840209961</c:v>
                      </c:pt>
                      <c:pt idx="47">
                        <c:v>-21.046791076660156</c:v>
                      </c:pt>
                      <c:pt idx="48">
                        <c:v>-21.093807220458984</c:v>
                      </c:pt>
                      <c:pt idx="49">
                        <c:v>-21.137094497680664</c:v>
                      </c:pt>
                      <c:pt idx="50">
                        <c:v>-21.175689697265625</c:v>
                      </c:pt>
                      <c:pt idx="51">
                        <c:v>-21.214286804199219</c:v>
                      </c:pt>
                      <c:pt idx="52">
                        <c:v>-21.25288200378418</c:v>
                      </c:pt>
                      <c:pt idx="53">
                        <c:v>-21.291479110717773</c:v>
                      </c:pt>
                      <c:pt idx="54">
                        <c:v>-21.330076217651367</c:v>
                      </c:pt>
                      <c:pt idx="55">
                        <c:v>-21.364578247070313</c:v>
                      </c:pt>
                      <c:pt idx="56">
                        <c:v>-21.397661209106445</c:v>
                      </c:pt>
                      <c:pt idx="57">
                        <c:v>-21.430746078491211</c:v>
                      </c:pt>
                      <c:pt idx="58">
                        <c:v>-21.463830947875977</c:v>
                      </c:pt>
                      <c:pt idx="59">
                        <c:v>-21.496915817260742</c:v>
                      </c:pt>
                      <c:pt idx="60">
                        <c:v>-21.530000686645508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EAB-4EBF-9A5F-D0240C58123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Answ2!$A$4:$B$4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Answ2!$C$4:$BK$4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-2.0945672988891602</c:v>
                      </c:pt>
                      <c:pt idx="1">
                        <c:v>-2.5832996368408203</c:v>
                      </c:pt>
                      <c:pt idx="2">
                        <c:v>-3.0720319747924805</c:v>
                      </c:pt>
                      <c:pt idx="3">
                        <c:v>-3.5607643127441406</c:v>
                      </c:pt>
                      <c:pt idx="4">
                        <c:v>-4.0494966506958008</c:v>
                      </c:pt>
                      <c:pt idx="5">
                        <c:v>-4.5382289886474609</c:v>
                      </c:pt>
                      <c:pt idx="6">
                        <c:v>-5.0269613265991211</c:v>
                      </c:pt>
                      <c:pt idx="7">
                        <c:v>-5.5156941413879395</c:v>
                      </c:pt>
                      <c:pt idx="8">
                        <c:v>-6.0044260025024414</c:v>
                      </c:pt>
                      <c:pt idx="9">
                        <c:v>-6.3257269859313965</c:v>
                      </c:pt>
                      <c:pt idx="10">
                        <c:v>-6.4833798408508301</c:v>
                      </c:pt>
                      <c:pt idx="11">
                        <c:v>-6.6410326957702637</c:v>
                      </c:pt>
                      <c:pt idx="12">
                        <c:v>-6.7986860275268555</c:v>
                      </c:pt>
                      <c:pt idx="13">
                        <c:v>-6.9563388824462891</c:v>
                      </c:pt>
                      <c:pt idx="14">
                        <c:v>-7.1139917373657227</c:v>
                      </c:pt>
                      <c:pt idx="15">
                        <c:v>-7.2553892135620117</c:v>
                      </c:pt>
                      <c:pt idx="16">
                        <c:v>-7.3900966644287109</c:v>
                      </c:pt>
                      <c:pt idx="17">
                        <c:v>-7.5207357406616211</c:v>
                      </c:pt>
                      <c:pt idx="18">
                        <c:v>-7.650444507598877</c:v>
                      </c:pt>
                      <c:pt idx="19">
                        <c:v>-7.781954288482666</c:v>
                      </c:pt>
                      <c:pt idx="20">
                        <c:v>-7.9187793731689453</c:v>
                      </c:pt>
                      <c:pt idx="21">
                        <c:v>-8.1061792373657227</c:v>
                      </c:pt>
                      <c:pt idx="22">
                        <c:v>-8.2935791015625</c:v>
                      </c:pt>
                      <c:pt idx="23">
                        <c:v>-8.4809799194335938</c:v>
                      </c:pt>
                      <c:pt idx="24">
                        <c:v>-8.6683797836303711</c:v>
                      </c:pt>
                      <c:pt idx="25">
                        <c:v>-8.8557796478271484</c:v>
                      </c:pt>
                      <c:pt idx="26">
                        <c:v>-9.0593729019165039</c:v>
                      </c:pt>
                      <c:pt idx="27">
                        <c:v>-9.2948026657104492</c:v>
                      </c:pt>
                      <c:pt idx="28">
                        <c:v>-9.5264291763305664</c:v>
                      </c:pt>
                      <c:pt idx="29">
                        <c:v>-9.7526493072509766</c:v>
                      </c:pt>
                      <c:pt idx="30">
                        <c:v>-9.9727811813354492</c:v>
                      </c:pt>
                      <c:pt idx="31">
                        <c:v>-10.180266380310059</c:v>
                      </c:pt>
                      <c:pt idx="32">
                        <c:v>-10.369768142700195</c:v>
                      </c:pt>
                      <c:pt idx="33">
                        <c:v>-10.54804515838623</c:v>
                      </c:pt>
                      <c:pt idx="34">
                        <c:v>-10.726322174072266</c:v>
                      </c:pt>
                      <c:pt idx="35">
                        <c:v>-10.904599189758301</c:v>
                      </c:pt>
                      <c:pt idx="36">
                        <c:v>-11.082876205444336</c:v>
                      </c:pt>
                      <c:pt idx="37">
                        <c:v>-11.261153221130371</c:v>
                      </c:pt>
                      <c:pt idx="38">
                        <c:v>-11.411197662353516</c:v>
                      </c:pt>
                      <c:pt idx="39">
                        <c:v>-11.544319152832031</c:v>
                      </c:pt>
                      <c:pt idx="40">
                        <c:v>-11.661515235900879</c:v>
                      </c:pt>
                      <c:pt idx="41">
                        <c:v>-11.767576217651367</c:v>
                      </c:pt>
                      <c:pt idx="42">
                        <c:v>-11.865151405334473</c:v>
                      </c:pt>
                      <c:pt idx="43">
                        <c:v>-11.952935218811035</c:v>
                      </c:pt>
                      <c:pt idx="44">
                        <c:v>-12.022586822509766</c:v>
                      </c:pt>
                      <c:pt idx="45">
                        <c:v>-12.092238426208496</c:v>
                      </c:pt>
                      <c:pt idx="46">
                        <c:v>-12.161890983581543</c:v>
                      </c:pt>
                      <c:pt idx="47">
                        <c:v>-12.231542587280273</c:v>
                      </c:pt>
                      <c:pt idx="48">
                        <c:v>-12.301194190979004</c:v>
                      </c:pt>
                      <c:pt idx="49">
                        <c:v>-12.36408519744873</c:v>
                      </c:pt>
                      <c:pt idx="50">
                        <c:v>-12.418471336364746</c:v>
                      </c:pt>
                      <c:pt idx="51">
                        <c:v>-12.472857475280762</c:v>
                      </c:pt>
                      <c:pt idx="52">
                        <c:v>-12.527242660522461</c:v>
                      </c:pt>
                      <c:pt idx="53">
                        <c:v>-12.581628799438477</c:v>
                      </c:pt>
                      <c:pt idx="54">
                        <c:v>-12.636014938354492</c:v>
                      </c:pt>
                      <c:pt idx="55">
                        <c:v>-12.684925079345703</c:v>
                      </c:pt>
                      <c:pt idx="56">
                        <c:v>-12.731940269470215</c:v>
                      </c:pt>
                      <c:pt idx="57">
                        <c:v>-12.778955459594727</c:v>
                      </c:pt>
                      <c:pt idx="58">
                        <c:v>-12.825969696044922</c:v>
                      </c:pt>
                      <c:pt idx="59">
                        <c:v>-12.872984886169434</c:v>
                      </c:pt>
                      <c:pt idx="60">
                        <c:v>-12.920000076293945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AB-4EBF-9A5F-D0240C58123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Answ2!$A$5:$B$5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Answ2!$C$5:$BK$5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1.7997987270355225</c:v>
                      </c:pt>
                      <c:pt idx="1">
                        <c:v>2.2197518348693848</c:v>
                      </c:pt>
                      <c:pt idx="2">
                        <c:v>2.6397049427032471</c:v>
                      </c:pt>
                      <c:pt idx="3">
                        <c:v>3.0596578121185303</c:v>
                      </c:pt>
                      <c:pt idx="4">
                        <c:v>3.4796109199523926</c:v>
                      </c:pt>
                      <c:pt idx="5">
                        <c:v>3.8995640277862549</c:v>
                      </c:pt>
                      <c:pt idx="6">
                        <c:v>4.3195171356201172</c:v>
                      </c:pt>
                      <c:pt idx="7">
                        <c:v>4.7394700050354004</c:v>
                      </c:pt>
                      <c:pt idx="8">
                        <c:v>5.1594228744506836</c:v>
                      </c:pt>
                      <c:pt idx="9">
                        <c:v>4.9577217102050781</c:v>
                      </c:pt>
                      <c:pt idx="10">
                        <c:v>4.1484131813049316</c:v>
                      </c:pt>
                      <c:pt idx="11">
                        <c:v>3.3391053676605225</c:v>
                      </c:pt>
                      <c:pt idx="12">
                        <c:v>2.5297966003417969</c:v>
                      </c:pt>
                      <c:pt idx="13">
                        <c:v>1.7204878330230713</c:v>
                      </c:pt>
                      <c:pt idx="14">
                        <c:v>0.91118013858795166</c:v>
                      </c:pt>
                      <c:pt idx="15">
                        <c:v>0.3026929497718811</c:v>
                      </c:pt>
                      <c:pt idx="16">
                        <c:v>-0.22795909643173218</c:v>
                      </c:pt>
                      <c:pt idx="17">
                        <c:v>-0.71716231107711792</c:v>
                      </c:pt>
                      <c:pt idx="18">
                        <c:v>-1.1574499607086182</c:v>
                      </c:pt>
                      <c:pt idx="19">
                        <c:v>-1.5686105489730835</c:v>
                      </c:pt>
                      <c:pt idx="20">
                        <c:v>-1.9477295875549316</c:v>
                      </c:pt>
                      <c:pt idx="21">
                        <c:v>-2.229790210723877</c:v>
                      </c:pt>
                      <c:pt idx="22">
                        <c:v>-2.5118510723114014</c:v>
                      </c:pt>
                      <c:pt idx="23">
                        <c:v>-2.793912410736084</c:v>
                      </c:pt>
                      <c:pt idx="24">
                        <c:v>-3.0759732723236084</c:v>
                      </c:pt>
                      <c:pt idx="25">
                        <c:v>-3.3580338954925537</c:v>
                      </c:pt>
                      <c:pt idx="26">
                        <c:v>-3.6187207698822021</c:v>
                      </c:pt>
                      <c:pt idx="27">
                        <c:v>-3.8373832702636719</c:v>
                      </c:pt>
                      <c:pt idx="28">
                        <c:v>-4.0445823669433594</c:v>
                      </c:pt>
                      <c:pt idx="29">
                        <c:v>-4.2426037788391113</c:v>
                      </c:pt>
                      <c:pt idx="30">
                        <c:v>-4.4310684204101563</c:v>
                      </c:pt>
                      <c:pt idx="31">
                        <c:v>-4.602226734161377</c:v>
                      </c:pt>
                      <c:pt idx="32">
                        <c:v>-4.7326774597167969</c:v>
                      </c:pt>
                      <c:pt idx="33">
                        <c:v>-4.8377208709716797</c:v>
                      </c:pt>
                      <c:pt idx="34">
                        <c:v>-4.9427642822265625</c:v>
                      </c:pt>
                      <c:pt idx="35">
                        <c:v>-5.0478081703186035</c:v>
                      </c:pt>
                      <c:pt idx="36">
                        <c:v>-5.1528520584106445</c:v>
                      </c:pt>
                      <c:pt idx="37">
                        <c:v>-5.2578954696655273</c:v>
                      </c:pt>
                      <c:pt idx="38">
                        <c:v>-5.3164811134338379</c:v>
                      </c:pt>
                      <c:pt idx="39">
                        <c:v>-5.3667278289794922</c:v>
                      </c:pt>
                      <c:pt idx="40">
                        <c:v>-5.413818359375</c:v>
                      </c:pt>
                      <c:pt idx="41">
                        <c:v>-5.4710907936096191</c:v>
                      </c:pt>
                      <c:pt idx="42">
                        <c:v>-5.5338788032531738</c:v>
                      </c:pt>
                      <c:pt idx="43">
                        <c:v>-5.6030049324035645</c:v>
                      </c:pt>
                      <c:pt idx="44">
                        <c:v>-5.6838006973266602</c:v>
                      </c:pt>
                      <c:pt idx="45">
                        <c:v>-5.7645969390869141</c:v>
                      </c:pt>
                      <c:pt idx="46">
                        <c:v>-5.845393180847168</c:v>
                      </c:pt>
                      <c:pt idx="47">
                        <c:v>-5.9261889457702637</c:v>
                      </c:pt>
                      <c:pt idx="48">
                        <c:v>-6.0069851875305176</c:v>
                      </c:pt>
                      <c:pt idx="49">
                        <c:v>-6.0910801887512207</c:v>
                      </c:pt>
                      <c:pt idx="50">
                        <c:v>-6.1793255805969238</c:v>
                      </c:pt>
                      <c:pt idx="51">
                        <c:v>-6.2675714492797852</c:v>
                      </c:pt>
                      <c:pt idx="52">
                        <c:v>-6.3558173179626465</c:v>
                      </c:pt>
                      <c:pt idx="53">
                        <c:v>-6.4440622329711914</c:v>
                      </c:pt>
                      <c:pt idx="54">
                        <c:v>-6.5323081016540527</c:v>
                      </c:pt>
                      <c:pt idx="55">
                        <c:v>-6.616572380065918</c:v>
                      </c:pt>
                      <c:pt idx="56">
                        <c:v>-6.6994576454162598</c:v>
                      </c:pt>
                      <c:pt idx="57">
                        <c:v>-6.7823433876037598</c:v>
                      </c:pt>
                      <c:pt idx="58">
                        <c:v>-6.8652291297912598</c:v>
                      </c:pt>
                      <c:pt idx="59">
                        <c:v>-6.9481143951416016</c:v>
                      </c:pt>
                      <c:pt idx="60">
                        <c:v>-7.0310001373291016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AB-4EBF-9A5F-D0240C58123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Answ2!$A$7:$B$7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Answ2!$C$7:$BK$7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-6.3782696723937988</c:v>
                      </c:pt>
                      <c:pt idx="1">
                        <c:v>-7.8665323257446289</c:v>
                      </c:pt>
                      <c:pt idx="2">
                        <c:v>-9.3547954559326172</c:v>
                      </c:pt>
                      <c:pt idx="3">
                        <c:v>-10.843058586120605</c:v>
                      </c:pt>
                      <c:pt idx="4">
                        <c:v>-12.331320762634277</c:v>
                      </c:pt>
                      <c:pt idx="5">
                        <c:v>-13.819583892822266</c:v>
                      </c:pt>
                      <c:pt idx="6">
                        <c:v>-15.307847023010254</c:v>
                      </c:pt>
                      <c:pt idx="7">
                        <c:v>-16.796110153198242</c:v>
                      </c:pt>
                      <c:pt idx="8">
                        <c:v>-18.284372329711914</c:v>
                      </c:pt>
                      <c:pt idx="9">
                        <c:v>-19.023544311523438</c:v>
                      </c:pt>
                      <c:pt idx="10">
                        <c:v>-19.031646728515625</c:v>
                      </c:pt>
                      <c:pt idx="11">
                        <c:v>-19.052604675292969</c:v>
                      </c:pt>
                      <c:pt idx="12">
                        <c:v>-19.082605361938477</c:v>
                      </c:pt>
                      <c:pt idx="13">
                        <c:v>-19.119043350219727</c:v>
                      </c:pt>
                      <c:pt idx="14">
                        <c:v>-19.160957336425781</c:v>
                      </c:pt>
                      <c:pt idx="15">
                        <c:v>-19.202873229980469</c:v>
                      </c:pt>
                      <c:pt idx="16">
                        <c:v>-19.247255325317383</c:v>
                      </c:pt>
                      <c:pt idx="17">
                        <c:v>-19.296157836914063</c:v>
                      </c:pt>
                      <c:pt idx="18">
                        <c:v>-19.151500701904297</c:v>
                      </c:pt>
                      <c:pt idx="19">
                        <c:v>-19.056188583374023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-19.857484817504883</c:v>
                      </c:pt>
                      <c:pt idx="39">
                        <c:v>-19.899171829223633</c:v>
                      </c:pt>
                      <c:pt idx="40">
                        <c:v>-19.940607070922852</c:v>
                      </c:pt>
                      <c:pt idx="41">
                        <c:v>-19.983030319213867</c:v>
                      </c:pt>
                      <c:pt idx="42">
                        <c:v>-20.021211624145508</c:v>
                      </c:pt>
                      <c:pt idx="43">
                        <c:v>-20.056791305541992</c:v>
                      </c:pt>
                      <c:pt idx="44">
                        <c:v>-20.093357086181641</c:v>
                      </c:pt>
                      <c:pt idx="45">
                        <c:v>-20.129924774169922</c:v>
                      </c:pt>
                      <c:pt idx="46">
                        <c:v>-20.166492462158203</c:v>
                      </c:pt>
                      <c:pt idx="47">
                        <c:v>-20.203060150146484</c:v>
                      </c:pt>
                      <c:pt idx="48">
                        <c:v>-20.239627838134766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-20.485490798950195</c:v>
                      </c:pt>
                      <c:pt idx="56">
                        <c:v>-20.520101547241211</c:v>
                      </c:pt>
                      <c:pt idx="57">
                        <c:v>-20.555454254150391</c:v>
                      </c:pt>
                      <c:pt idx="58">
                        <c:v>-20.583921432495117</c:v>
                      </c:pt>
                      <c:pt idx="59">
                        <c:v>-20.614646911621094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AB-4EBF-9A5F-D0240C58123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Answ2!$A$8:$B$8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Answ2!$C$8:$BK$8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-20.452716827392578</c:v>
                      </c:pt>
                      <c:pt idx="1">
                        <c:v>-25.225017547607422</c:v>
                      </c:pt>
                      <c:pt idx="2">
                        <c:v>-29.997318267822266</c:v>
                      </c:pt>
                      <c:pt idx="3">
                        <c:v>-34.769618988037109</c:v>
                      </c:pt>
                      <c:pt idx="4">
                        <c:v>-39.541915893554688</c:v>
                      </c:pt>
                      <c:pt idx="5">
                        <c:v>-44.314220428466797</c:v>
                      </c:pt>
                      <c:pt idx="6">
                        <c:v>-49.086517333984375</c:v>
                      </c:pt>
                      <c:pt idx="7">
                        <c:v>-53.858821868896484</c:v>
                      </c:pt>
                      <c:pt idx="8">
                        <c:v>-58.631118774414063</c:v>
                      </c:pt>
                      <c:pt idx="9">
                        <c:v>-59.005619049072266</c:v>
                      </c:pt>
                      <c:pt idx="10">
                        <c:v>-55.034858703613281</c:v>
                      </c:pt>
                      <c:pt idx="11">
                        <c:v>-50.514900207519531</c:v>
                      </c:pt>
                      <c:pt idx="12">
                        <c:v>-46.089878082275391</c:v>
                      </c:pt>
                      <c:pt idx="13">
                        <c:v>-41.849239349365234</c:v>
                      </c:pt>
                      <c:pt idx="14">
                        <c:v>-38.09075927734375</c:v>
                      </c:pt>
                      <c:pt idx="15">
                        <c:v>-34.715808868408203</c:v>
                      </c:pt>
                      <c:pt idx="16">
                        <c:v>-31.584388732910156</c:v>
                      </c:pt>
                      <c:pt idx="17">
                        <c:v>-28.706148147583008</c:v>
                      </c:pt>
                      <c:pt idx="18">
                        <c:v>-26.497867584228516</c:v>
                      </c:pt>
                      <c:pt idx="19">
                        <c:v>-25.865806579589844</c:v>
                      </c:pt>
                      <c:pt idx="20">
                        <c:v>-26.785438537597656</c:v>
                      </c:pt>
                      <c:pt idx="21">
                        <c:v>-27.667425155639648</c:v>
                      </c:pt>
                      <c:pt idx="22">
                        <c:v>-28.549409866333008</c:v>
                      </c:pt>
                      <c:pt idx="23">
                        <c:v>-29.431398391723633</c:v>
                      </c:pt>
                      <c:pt idx="24">
                        <c:v>-30.313383102416992</c:v>
                      </c:pt>
                      <c:pt idx="25">
                        <c:v>-31.195369720458984</c:v>
                      </c:pt>
                      <c:pt idx="26">
                        <c:v>-32.045169830322266</c:v>
                      </c:pt>
                      <c:pt idx="27">
                        <c:v>-32.831687927246094</c:v>
                      </c:pt>
                      <c:pt idx="28">
                        <c:v>-33.618202209472656</c:v>
                      </c:pt>
                      <c:pt idx="29">
                        <c:v>-34.404720306396484</c:v>
                      </c:pt>
                      <c:pt idx="30">
                        <c:v>-35.191234588623047</c:v>
                      </c:pt>
                      <c:pt idx="31">
                        <c:v>-35.977752685546875</c:v>
                      </c:pt>
                      <c:pt idx="32">
                        <c:v>-36.685710906982422</c:v>
                      </c:pt>
                      <c:pt idx="33">
                        <c:v>-37.344635009765625</c:v>
                      </c:pt>
                      <c:pt idx="34">
                        <c:v>-38.003562927246094</c:v>
                      </c:pt>
                      <c:pt idx="35">
                        <c:v>-38.662490844726563</c:v>
                      </c:pt>
                      <c:pt idx="36">
                        <c:v>-39.321414947509766</c:v>
                      </c:pt>
                      <c:pt idx="37">
                        <c:v>-39.980342864990234</c:v>
                      </c:pt>
                      <c:pt idx="38">
                        <c:v>-40.556049346923828</c:v>
                      </c:pt>
                      <c:pt idx="39">
                        <c:v>-41.099643707275391</c:v>
                      </c:pt>
                      <c:pt idx="40">
                        <c:v>-41.617073059082031</c:v>
                      </c:pt>
                      <c:pt idx="41">
                        <c:v>-42.112022399902344</c:v>
                      </c:pt>
                      <c:pt idx="42">
                        <c:v>-42.577274322509766</c:v>
                      </c:pt>
                      <c:pt idx="43">
                        <c:v>-43.002090454101563</c:v>
                      </c:pt>
                      <c:pt idx="44">
                        <c:v>-43.336418151855469</c:v>
                      </c:pt>
                      <c:pt idx="45">
                        <c:v>-43.670745849609375</c:v>
                      </c:pt>
                      <c:pt idx="46">
                        <c:v>-44.005073547363281</c:v>
                      </c:pt>
                      <c:pt idx="47">
                        <c:v>-44.339401245117188</c:v>
                      </c:pt>
                      <c:pt idx="48">
                        <c:v>-44.673732757568359</c:v>
                      </c:pt>
                      <c:pt idx="49">
                        <c:v>-44.92681884765625</c:v>
                      </c:pt>
                      <c:pt idx="50">
                        <c:v>-45.077693939208984</c:v>
                      </c:pt>
                      <c:pt idx="51">
                        <c:v>-45.228572845458984</c:v>
                      </c:pt>
                      <c:pt idx="52">
                        <c:v>-45.379451751708984</c:v>
                      </c:pt>
                      <c:pt idx="53">
                        <c:v>-45.530326843261719</c:v>
                      </c:pt>
                      <c:pt idx="54">
                        <c:v>-45.681205749511719</c:v>
                      </c:pt>
                      <c:pt idx="55">
                        <c:v>-45.740390777587891</c:v>
                      </c:pt>
                      <c:pt idx="56">
                        <c:v>-45.755958557128906</c:v>
                      </c:pt>
                      <c:pt idx="57">
                        <c:v>-45.7418212890625</c:v>
                      </c:pt>
                      <c:pt idx="58">
                        <c:v>-45.680194854736328</c:v>
                      </c:pt>
                      <c:pt idx="59">
                        <c:v>-45.590202331542969</c:v>
                      </c:pt>
                      <c:pt idx="6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AB-4EBF-9A5F-D0240C581234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Answ2!$A$9:$B$9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Answ2!$C$9:$BK$9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-5.1475520133972168</c:v>
                      </c:pt>
                      <c:pt idx="1">
                        <c:v>-6.3486475944519043</c:v>
                      </c:pt>
                      <c:pt idx="2">
                        <c:v>-7.5497431755065918</c:v>
                      </c:pt>
                      <c:pt idx="3">
                        <c:v>-8.7508382797241211</c:v>
                      </c:pt>
                      <c:pt idx="4">
                        <c:v>-9.9519338607788086</c:v>
                      </c:pt>
                      <c:pt idx="5">
                        <c:v>-11.153029441833496</c:v>
                      </c:pt>
                      <c:pt idx="6">
                        <c:v>-12.354125022888184</c:v>
                      </c:pt>
                      <c:pt idx="7">
                        <c:v>-13.555220603942871</c:v>
                      </c:pt>
                      <c:pt idx="8">
                        <c:v>-14.756315231323242</c:v>
                      </c:pt>
                      <c:pt idx="9">
                        <c:v>-14.999189376831055</c:v>
                      </c:pt>
                      <c:pt idx="10">
                        <c:v>-14.246925354003906</c:v>
                      </c:pt>
                      <c:pt idx="11">
                        <c:v>-12.807805061340332</c:v>
                      </c:pt>
                      <c:pt idx="12">
                        <c:v>-11.264699935913086</c:v>
                      </c:pt>
                      <c:pt idx="13">
                        <c:v>-9.7102594375610352</c:v>
                      </c:pt>
                      <c:pt idx="14">
                        <c:v>-8.3207406997680664</c:v>
                      </c:pt>
                      <c:pt idx="15">
                        <c:v>-7.0670995712280273</c:v>
                      </c:pt>
                      <c:pt idx="16">
                        <c:v>-5.8993930816650391</c:v>
                      </c:pt>
                      <c:pt idx="17">
                        <c:v>-4.8207511901855469</c:v>
                      </c:pt>
                      <c:pt idx="18">
                        <c:v>-4.3518404960632324</c:v>
                      </c:pt>
                      <c:pt idx="19">
                        <c:v>-4.1693153381347656</c:v>
                      </c:pt>
                      <c:pt idx="20">
                        <c:v>-4.2266230583190918</c:v>
                      </c:pt>
                      <c:pt idx="21">
                        <c:v>-4.2842574119567871</c:v>
                      </c:pt>
                      <c:pt idx="22">
                        <c:v>-4.3418922424316406</c:v>
                      </c:pt>
                      <c:pt idx="23">
                        <c:v>-4.3995270729064941</c:v>
                      </c:pt>
                      <c:pt idx="24">
                        <c:v>-4.4571619033813477</c:v>
                      </c:pt>
                      <c:pt idx="25">
                        <c:v>-4.514796257019043</c:v>
                      </c:pt>
                      <c:pt idx="26">
                        <c:v>-4.5718564987182617</c:v>
                      </c:pt>
                      <c:pt idx="27">
                        <c:v>-4.6277866363525391</c:v>
                      </c:pt>
                      <c:pt idx="28">
                        <c:v>-4.6837167739868164</c:v>
                      </c:pt>
                      <c:pt idx="29">
                        <c:v>-4.7396469116210938</c:v>
                      </c:pt>
                      <c:pt idx="30">
                        <c:v>-4.7955770492553711</c:v>
                      </c:pt>
                      <c:pt idx="31">
                        <c:v>-4.8515071868896484</c:v>
                      </c:pt>
                      <c:pt idx="32">
                        <c:v>-4.9054999351501465</c:v>
                      </c:pt>
                      <c:pt idx="33">
                        <c:v>-4.9582839012145996</c:v>
                      </c:pt>
                      <c:pt idx="34">
                        <c:v>-5.0110678672790527</c:v>
                      </c:pt>
                      <c:pt idx="35">
                        <c:v>-5.0638523101806641</c:v>
                      </c:pt>
                      <c:pt idx="36">
                        <c:v>-5.1166362762451172</c:v>
                      </c:pt>
                      <c:pt idx="37">
                        <c:v>-5.1694202423095703</c:v>
                      </c:pt>
                      <c:pt idx="38">
                        <c:v>-5.2199821472167969</c:v>
                      </c:pt>
                      <c:pt idx="39">
                        <c:v>-5.2696866989135742</c:v>
                      </c:pt>
                      <c:pt idx="40">
                        <c:v>-5.3187170028686523</c:v>
                      </c:pt>
                      <c:pt idx="41">
                        <c:v>-5.3689188957214355</c:v>
                      </c:pt>
                      <c:pt idx="42">
                        <c:v>-5.4182729721069336</c:v>
                      </c:pt>
                      <c:pt idx="43">
                        <c:v>-5.4686393737792969</c:v>
                      </c:pt>
                      <c:pt idx="44">
                        <c:v>-5.5259280204772949</c:v>
                      </c:pt>
                      <c:pt idx="45">
                        <c:v>-5.583216667175293</c:v>
                      </c:pt>
                      <c:pt idx="46">
                        <c:v>-5.640505313873291</c:v>
                      </c:pt>
                      <c:pt idx="47">
                        <c:v>-5.6977934837341309</c:v>
                      </c:pt>
                      <c:pt idx="48">
                        <c:v>-5.7550821304321289</c:v>
                      </c:pt>
                      <c:pt idx="49">
                        <c:v>-5.8336944580078125</c:v>
                      </c:pt>
                      <c:pt idx="50">
                        <c:v>-5.9391326904296875</c:v>
                      </c:pt>
                      <c:pt idx="51">
                        <c:v>-6.0445713996887207</c:v>
                      </c:pt>
                      <c:pt idx="52">
                        <c:v>-6.1500101089477539</c:v>
                      </c:pt>
                      <c:pt idx="53">
                        <c:v>-6.2554483413696289</c:v>
                      </c:pt>
                      <c:pt idx="54">
                        <c:v>-6.3608870506286621</c:v>
                      </c:pt>
                      <c:pt idx="55">
                        <c:v>-6.4578433036804199</c:v>
                      </c:pt>
                      <c:pt idx="56">
                        <c:v>-6.5518684387207031</c:v>
                      </c:pt>
                      <c:pt idx="57">
                        <c:v>-6.645909309387207</c:v>
                      </c:pt>
                      <c:pt idx="58">
                        <c:v>-6.7351474761962891</c:v>
                      </c:pt>
                      <c:pt idx="59">
                        <c:v>-6.8233232498168945</c:v>
                      </c:pt>
                      <c:pt idx="6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EAB-4EBF-9A5F-D0240C581234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Answ2!$A$11:$B$11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Answ2!$C$11:$BK$11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-6.3313207626342773</c:v>
                      </c:pt>
                      <c:pt idx="1">
                        <c:v>-7.808629035949707</c:v>
                      </c:pt>
                      <c:pt idx="2">
                        <c:v>-9.2859373092651367</c:v>
                      </c:pt>
                      <c:pt idx="3">
                        <c:v>-10.763245582580566</c:v>
                      </c:pt>
                      <c:pt idx="4">
                        <c:v>-12.24055290222168</c:v>
                      </c:pt>
                      <c:pt idx="5">
                        <c:v>-13.717862129211426</c:v>
                      </c:pt>
                      <c:pt idx="6">
                        <c:v>-15.195169448852539</c:v>
                      </c:pt>
                      <c:pt idx="7">
                        <c:v>-16.672477722167969</c:v>
                      </c:pt>
                      <c:pt idx="8">
                        <c:v>-18.149785995483398</c:v>
                      </c:pt>
                      <c:pt idx="9">
                        <c:v>-18.876455307006836</c:v>
                      </c:pt>
                      <c:pt idx="10">
                        <c:v>-18.871646881103516</c:v>
                      </c:pt>
                      <c:pt idx="11">
                        <c:v>-18.892604827880859</c:v>
                      </c:pt>
                      <c:pt idx="12">
                        <c:v>-18.918083190917969</c:v>
                      </c:pt>
                      <c:pt idx="13">
                        <c:v>-18.947534561157227</c:v>
                      </c:pt>
                      <c:pt idx="14">
                        <c:v>-18.982465744018555</c:v>
                      </c:pt>
                      <c:pt idx="15">
                        <c:v>-19.01739501953125</c:v>
                      </c:pt>
                      <c:pt idx="16">
                        <c:v>-19.047395706176758</c:v>
                      </c:pt>
                      <c:pt idx="17">
                        <c:v>-19.068353652954102</c:v>
                      </c:pt>
                      <c:pt idx="18">
                        <c:v>-18.998977661132813</c:v>
                      </c:pt>
                      <c:pt idx="19">
                        <c:v>-18.984170913696289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-19.85603141784668</c:v>
                      </c:pt>
                      <c:pt idx="39">
                        <c:v>-19.896320343017578</c:v>
                      </c:pt>
                      <c:pt idx="40">
                        <c:v>-19.936611175537109</c:v>
                      </c:pt>
                      <c:pt idx="41">
                        <c:v>-19.976902008056641</c:v>
                      </c:pt>
                      <c:pt idx="42">
                        <c:v>-20.017190933227539</c:v>
                      </c:pt>
                      <c:pt idx="43">
                        <c:v>-20.057645797729492</c:v>
                      </c:pt>
                      <c:pt idx="44">
                        <c:v>-20.098823547363281</c:v>
                      </c:pt>
                      <c:pt idx="45">
                        <c:v>-20.135757446289063</c:v>
                      </c:pt>
                      <c:pt idx="46">
                        <c:v>-20.170783996582031</c:v>
                      </c:pt>
                      <c:pt idx="47">
                        <c:v>-20.205097198486328</c:v>
                      </c:pt>
                      <c:pt idx="48">
                        <c:v>-20.240303039550781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-20.484577178955078</c:v>
                      </c:pt>
                      <c:pt idx="56">
                        <c:v>-20.517660140991211</c:v>
                      </c:pt>
                      <c:pt idx="57">
                        <c:v>-20.550745010375977</c:v>
                      </c:pt>
                      <c:pt idx="58">
                        <c:v>-20.583829879760742</c:v>
                      </c:pt>
                      <c:pt idx="59">
                        <c:v>-20.616914749145508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AB-4EBF-9A5F-D0240C58123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Answ2!$A$12:$B$12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Answ2!$C$12:$BK$12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-20.385646820068359</c:v>
                      </c:pt>
                      <c:pt idx="1">
                        <c:v>-25.142297744750977</c:v>
                      </c:pt>
                      <c:pt idx="2">
                        <c:v>-29.898948669433594</c:v>
                      </c:pt>
                      <c:pt idx="3">
                        <c:v>-34.655597686767578</c:v>
                      </c:pt>
                      <c:pt idx="4">
                        <c:v>-39.412250518798828</c:v>
                      </c:pt>
                      <c:pt idx="5">
                        <c:v>-44.168903350830078</c:v>
                      </c:pt>
                      <c:pt idx="6">
                        <c:v>-48.925552368164063</c:v>
                      </c:pt>
                      <c:pt idx="7">
                        <c:v>-53.682205200195313</c:v>
                      </c:pt>
                      <c:pt idx="8">
                        <c:v>-58.438850402832031</c:v>
                      </c:pt>
                      <c:pt idx="9">
                        <c:v>-58.320152282714844</c:v>
                      </c:pt>
                      <c:pt idx="10">
                        <c:v>-53.446193695068359</c:v>
                      </c:pt>
                      <c:pt idx="11">
                        <c:v>-48.688713073730469</c:v>
                      </c:pt>
                      <c:pt idx="12">
                        <c:v>-44.247692108154297</c:v>
                      </c:pt>
                      <c:pt idx="13">
                        <c:v>-40.117874145507813</c:v>
                      </c:pt>
                      <c:pt idx="14">
                        <c:v>-36.49212646484375</c:v>
                      </c:pt>
                      <c:pt idx="15">
                        <c:v>-33.343055725097656</c:v>
                      </c:pt>
                      <c:pt idx="16">
                        <c:v>-30.470527648925781</c:v>
                      </c:pt>
                      <c:pt idx="17">
                        <c:v>-27.864742279052734</c:v>
                      </c:pt>
                      <c:pt idx="18">
                        <c:v>-27.098289489746094</c:v>
                      </c:pt>
                      <c:pt idx="19">
                        <c:v>-27.245807647705078</c:v>
                      </c:pt>
                      <c:pt idx="20">
                        <c:v>-28.167087554931641</c:v>
                      </c:pt>
                      <c:pt idx="21">
                        <c:v>-29.07526969909668</c:v>
                      </c:pt>
                      <c:pt idx="22">
                        <c:v>-29.974630355834961</c:v>
                      </c:pt>
                      <c:pt idx="23">
                        <c:v>-30.864652633666992</c:v>
                      </c:pt>
                      <c:pt idx="24">
                        <c:v>-31.737903594970703</c:v>
                      </c:pt>
                      <c:pt idx="25">
                        <c:v>-32.595050811767578</c:v>
                      </c:pt>
                      <c:pt idx="26">
                        <c:v>-33.425758361816406</c:v>
                      </c:pt>
                      <c:pt idx="27">
                        <c:v>-34.214023590087891</c:v>
                      </c:pt>
                      <c:pt idx="28">
                        <c:v>-35.002285003662109</c:v>
                      </c:pt>
                      <c:pt idx="29">
                        <c:v>-35.790550231933594</c:v>
                      </c:pt>
                      <c:pt idx="30">
                        <c:v>-36.578815460205078</c:v>
                      </c:pt>
                      <c:pt idx="31">
                        <c:v>-37.367080688476563</c:v>
                      </c:pt>
                      <c:pt idx="32">
                        <c:v>-38.074634552001953</c:v>
                      </c:pt>
                      <c:pt idx="33">
                        <c:v>-38.7318115234375</c:v>
                      </c:pt>
                      <c:pt idx="34">
                        <c:v>-39.388988494873047</c:v>
                      </c:pt>
                      <c:pt idx="35">
                        <c:v>-40.046169281005859</c:v>
                      </c:pt>
                      <c:pt idx="36">
                        <c:v>-40.703350067138672</c:v>
                      </c:pt>
                      <c:pt idx="37">
                        <c:v>-41.360527038574219</c:v>
                      </c:pt>
                      <c:pt idx="38">
                        <c:v>-41.884304046630859</c:v>
                      </c:pt>
                      <c:pt idx="39">
                        <c:v>-42.392314910888672</c:v>
                      </c:pt>
                      <c:pt idx="40">
                        <c:v>-42.900321960449219</c:v>
                      </c:pt>
                      <c:pt idx="41">
                        <c:v>-43.408329010009766</c:v>
                      </c:pt>
                      <c:pt idx="42">
                        <c:v>-43.916339874267578</c:v>
                      </c:pt>
                      <c:pt idx="43">
                        <c:v>-44.40264892578125</c:v>
                      </c:pt>
                      <c:pt idx="44">
                        <c:v>-44.7938232421875</c:v>
                      </c:pt>
                      <c:pt idx="45">
                        <c:v>-45.167877197265625</c:v>
                      </c:pt>
                      <c:pt idx="46">
                        <c:v>-45.514900207519531</c:v>
                      </c:pt>
                      <c:pt idx="47">
                        <c:v>-45.816864013671875</c:v>
                      </c:pt>
                      <c:pt idx="48">
                        <c:v>-46.096363067626953</c:v>
                      </c:pt>
                      <c:pt idx="49">
                        <c:v>-46.316818237304688</c:v>
                      </c:pt>
                      <c:pt idx="50">
                        <c:v>-46.467693328857422</c:v>
                      </c:pt>
                      <c:pt idx="51">
                        <c:v>-46.618572235107422</c:v>
                      </c:pt>
                      <c:pt idx="52">
                        <c:v>-46.769451141357422</c:v>
                      </c:pt>
                      <c:pt idx="53">
                        <c:v>-46.920326232910156</c:v>
                      </c:pt>
                      <c:pt idx="54">
                        <c:v>-47.071205139160156</c:v>
                      </c:pt>
                      <c:pt idx="55">
                        <c:v>-47.076370239257813</c:v>
                      </c:pt>
                      <c:pt idx="56">
                        <c:v>-47.031093597412109</c:v>
                      </c:pt>
                      <c:pt idx="57">
                        <c:v>-46.985820770263672</c:v>
                      </c:pt>
                      <c:pt idx="58">
                        <c:v>-46.940547943115234</c:v>
                      </c:pt>
                      <c:pt idx="59">
                        <c:v>-46.895271301269531</c:v>
                      </c:pt>
                      <c:pt idx="6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AB-4EBF-9A5F-D0240C58123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Answ2!$A$13:$B$13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Answ2!$C$13:$BK$13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-5.3655261993408203</c:v>
                      </c:pt>
                      <c:pt idx="1">
                        <c:v>-6.6174826622009277</c:v>
                      </c:pt>
                      <c:pt idx="2">
                        <c:v>-7.869438648223877</c:v>
                      </c:pt>
                      <c:pt idx="3">
                        <c:v>-9.1213951110839844</c:v>
                      </c:pt>
                      <c:pt idx="4">
                        <c:v>-10.373350143432617</c:v>
                      </c:pt>
                      <c:pt idx="5">
                        <c:v>-11.625307083129883</c:v>
                      </c:pt>
                      <c:pt idx="6">
                        <c:v>-12.877263069152832</c:v>
                      </c:pt>
                      <c:pt idx="7">
                        <c:v>-14.129220008850098</c:v>
                      </c:pt>
                      <c:pt idx="8">
                        <c:v>-15.38117504119873</c:v>
                      </c:pt>
                      <c:pt idx="9">
                        <c:v>-15.262943267822266</c:v>
                      </c:pt>
                      <c:pt idx="10">
                        <c:v>-13.789361000061035</c:v>
                      </c:pt>
                      <c:pt idx="11">
                        <c:v>-12.126687049865723</c:v>
                      </c:pt>
                      <c:pt idx="12">
                        <c:v>-10.548101425170898</c:v>
                      </c:pt>
                      <c:pt idx="13">
                        <c:v>-9.0846872329711914</c:v>
                      </c:pt>
                      <c:pt idx="14">
                        <c:v>-7.8733124732971191</c:v>
                      </c:pt>
                      <c:pt idx="15">
                        <c:v>-7.0317697525024414</c:v>
                      </c:pt>
                      <c:pt idx="16">
                        <c:v>-6.4600667953491211</c:v>
                      </c:pt>
                      <c:pt idx="17">
                        <c:v>-6.1966938972473145</c:v>
                      </c:pt>
                      <c:pt idx="18">
                        <c:v>-6.6001896858215332</c:v>
                      </c:pt>
                      <c:pt idx="19">
                        <c:v>-6.8364529609680176</c:v>
                      </c:pt>
                      <c:pt idx="20">
                        <c:v>-6.8456788063049316</c:v>
                      </c:pt>
                      <c:pt idx="21">
                        <c:v>-6.8882932662963867</c:v>
                      </c:pt>
                      <c:pt idx="22">
                        <c:v>-6.9379658699035645</c:v>
                      </c:pt>
                      <c:pt idx="23">
                        <c:v>-6.9923171997070313</c:v>
                      </c:pt>
                      <c:pt idx="24">
                        <c:v>-7.0489039421081543</c:v>
                      </c:pt>
                      <c:pt idx="25">
                        <c:v>-7.1054911613464355</c:v>
                      </c:pt>
                      <c:pt idx="26">
                        <c:v>-7.1618566513061523</c:v>
                      </c:pt>
                      <c:pt idx="27">
                        <c:v>-7.2177867889404297</c:v>
                      </c:pt>
                      <c:pt idx="28">
                        <c:v>-7.2737164497375488</c:v>
                      </c:pt>
                      <c:pt idx="29">
                        <c:v>-7.3296465873718262</c:v>
                      </c:pt>
                      <c:pt idx="30">
                        <c:v>-7.3855767250061035</c:v>
                      </c:pt>
                      <c:pt idx="31">
                        <c:v>-7.4415068626403809</c:v>
                      </c:pt>
                      <c:pt idx="32">
                        <c:v>-7.4954996109008789</c:v>
                      </c:pt>
                      <c:pt idx="33">
                        <c:v>-7.548283576965332</c:v>
                      </c:pt>
                      <c:pt idx="34">
                        <c:v>-7.6010675430297852</c:v>
                      </c:pt>
                      <c:pt idx="35">
                        <c:v>-7.6538519859313965</c:v>
                      </c:pt>
                      <c:pt idx="36">
                        <c:v>-7.7066359519958496</c:v>
                      </c:pt>
                      <c:pt idx="37">
                        <c:v>-7.7594199180603027</c:v>
                      </c:pt>
                      <c:pt idx="38">
                        <c:v>-7.8093338012695313</c:v>
                      </c:pt>
                      <c:pt idx="39">
                        <c:v>-7.8589086532592773</c:v>
                      </c:pt>
                      <c:pt idx="40">
                        <c:v>-7.9084830284118652</c:v>
                      </c:pt>
                      <c:pt idx="41">
                        <c:v>-7.9580578804016113</c:v>
                      </c:pt>
                      <c:pt idx="42">
                        <c:v>-8.0076322555541992</c:v>
                      </c:pt>
                      <c:pt idx="43">
                        <c:v>-8.0566673278808594</c:v>
                      </c:pt>
                      <c:pt idx="44">
                        <c:v>-8.1033334732055664</c:v>
                      </c:pt>
                      <c:pt idx="45">
                        <c:v>-8.1500005722045898</c:v>
                      </c:pt>
                      <c:pt idx="46">
                        <c:v>-8.1962356567382813</c:v>
                      </c:pt>
                      <c:pt idx="47">
                        <c:v>-8.2415294647216797</c:v>
                      </c:pt>
                      <c:pt idx="48">
                        <c:v>-8.2873935699462891</c:v>
                      </c:pt>
                      <c:pt idx="49">
                        <c:v>-8.3322677612304688</c:v>
                      </c:pt>
                      <c:pt idx="50">
                        <c:v>-8.3757762908935547</c:v>
                      </c:pt>
                      <c:pt idx="51">
                        <c:v>-8.419285774230957</c:v>
                      </c:pt>
                      <c:pt idx="52">
                        <c:v>-8.462794303894043</c:v>
                      </c:pt>
                      <c:pt idx="53">
                        <c:v>-8.5063028335571289</c:v>
                      </c:pt>
                      <c:pt idx="54">
                        <c:v>-8.5498123168945313</c:v>
                      </c:pt>
                      <c:pt idx="55">
                        <c:v>-8.5912685394287109</c:v>
                      </c:pt>
                      <c:pt idx="56">
                        <c:v>-8.6320152282714844</c:v>
                      </c:pt>
                      <c:pt idx="57">
                        <c:v>-8.6727609634399414</c:v>
                      </c:pt>
                      <c:pt idx="58">
                        <c:v>-8.7135076522827148</c:v>
                      </c:pt>
                      <c:pt idx="59">
                        <c:v>-8.7542533874511719</c:v>
                      </c:pt>
                      <c:pt idx="6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AB-4EBF-9A5F-D0240C58123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Answ2!$A$14:$B$14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Answ2!$C$14:$BK$14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-7.4245467185974121</c:v>
                      </c:pt>
                      <c:pt idx="1">
                        <c:v>-9.1569414138793945</c:v>
                      </c:pt>
                      <c:pt idx="2">
                        <c:v>-10.889335632324219</c:v>
                      </c:pt>
                      <c:pt idx="3">
                        <c:v>-12.621729850769043</c:v>
                      </c:pt>
                      <c:pt idx="4">
                        <c:v>-14.354123115539551</c:v>
                      </c:pt>
                      <c:pt idx="5">
                        <c:v>-16.086519241333008</c:v>
                      </c:pt>
                      <c:pt idx="6">
                        <c:v>-17.818912506103516</c:v>
                      </c:pt>
                      <c:pt idx="7">
                        <c:v>-19.551307678222656</c:v>
                      </c:pt>
                      <c:pt idx="8">
                        <c:v>-21.283700942993164</c:v>
                      </c:pt>
                      <c:pt idx="9">
                        <c:v>-21.842342376708984</c:v>
                      </c:pt>
                      <c:pt idx="10">
                        <c:v>-21.304939270019531</c:v>
                      </c:pt>
                      <c:pt idx="11">
                        <c:v>-21.367813110351563</c:v>
                      </c:pt>
                      <c:pt idx="12">
                        <c:v>-21.575359344482422</c:v>
                      </c:pt>
                      <c:pt idx="13">
                        <c:v>-21.858772277832031</c:v>
                      </c:pt>
                      <c:pt idx="14">
                        <c:v>-22.131227493286133</c:v>
                      </c:pt>
                      <c:pt idx="15">
                        <c:v>-22.348892211914063</c:v>
                      </c:pt>
                      <c:pt idx="16">
                        <c:v>-22.556417465209961</c:v>
                      </c:pt>
                      <c:pt idx="17">
                        <c:v>-22.772985458374023</c:v>
                      </c:pt>
                      <c:pt idx="18">
                        <c:v>-22.951412200927734</c:v>
                      </c:pt>
                      <c:pt idx="19">
                        <c:v>-23.209201812744141</c:v>
                      </c:pt>
                      <c:pt idx="20">
                        <c:v>-23.551956176757813</c:v>
                      </c:pt>
                      <c:pt idx="21">
                        <c:v>-23.90125846862793</c:v>
                      </c:pt>
                      <c:pt idx="22">
                        <c:v>-24.241737365722656</c:v>
                      </c:pt>
                      <c:pt idx="23">
                        <c:v>-24.577066421508789</c:v>
                      </c:pt>
                      <c:pt idx="24">
                        <c:v>-24.912395477294922</c:v>
                      </c:pt>
                      <c:pt idx="25">
                        <c:v>-25.247724533081055</c:v>
                      </c:pt>
                      <c:pt idx="26">
                        <c:v>-25.576656341552734</c:v>
                      </c:pt>
                      <c:pt idx="27">
                        <c:v>-25.893011093139648</c:v>
                      </c:pt>
                      <c:pt idx="28">
                        <c:v>-26.209365844726563</c:v>
                      </c:pt>
                      <c:pt idx="29">
                        <c:v>-26.525720596313477</c:v>
                      </c:pt>
                      <c:pt idx="30">
                        <c:v>-26.842075347900391</c:v>
                      </c:pt>
                      <c:pt idx="31">
                        <c:v>-27.158430099487305</c:v>
                      </c:pt>
                      <c:pt idx="32">
                        <c:v>-27.465099334716797</c:v>
                      </c:pt>
                      <c:pt idx="33">
                        <c:v>-27.765724182128906</c:v>
                      </c:pt>
                      <c:pt idx="34">
                        <c:v>-28.066347122192383</c:v>
                      </c:pt>
                      <c:pt idx="35">
                        <c:v>-28.366971969604492</c:v>
                      </c:pt>
                      <c:pt idx="36">
                        <c:v>-28.667594909667969</c:v>
                      </c:pt>
                      <c:pt idx="37">
                        <c:v>-28.968219757080078</c:v>
                      </c:pt>
                      <c:pt idx="38">
                        <c:v>-29.255350112915039</c:v>
                      </c:pt>
                      <c:pt idx="39">
                        <c:v>-29.540885925292969</c:v>
                      </c:pt>
                      <c:pt idx="40">
                        <c:v>-29.826421737670898</c:v>
                      </c:pt>
                      <c:pt idx="41">
                        <c:v>-30.111955642700195</c:v>
                      </c:pt>
                      <c:pt idx="42">
                        <c:v>-30.397491455078125</c:v>
                      </c:pt>
                      <c:pt idx="43">
                        <c:v>-30.680980682373047</c:v>
                      </c:pt>
                      <c:pt idx="44">
                        <c:v>-30.955490112304688</c:v>
                      </c:pt>
                      <c:pt idx="45">
                        <c:v>-31.23090934753418</c:v>
                      </c:pt>
                      <c:pt idx="46">
                        <c:v>-31.504117965698242</c:v>
                      </c:pt>
                      <c:pt idx="47">
                        <c:v>-31.771762847900391</c:v>
                      </c:pt>
                      <c:pt idx="48">
                        <c:v>-32.046363830566406</c:v>
                      </c:pt>
                      <c:pt idx="49">
                        <c:v>-32.318874359130859</c:v>
                      </c:pt>
                      <c:pt idx="50">
                        <c:v>-32.587291717529297</c:v>
                      </c:pt>
                      <c:pt idx="51">
                        <c:v>-32.855712890625</c:v>
                      </c:pt>
                      <c:pt idx="52">
                        <c:v>-33.124134063720703</c:v>
                      </c:pt>
                      <c:pt idx="53">
                        <c:v>-33.392555236816406</c:v>
                      </c:pt>
                      <c:pt idx="54">
                        <c:v>-33.660976409912109</c:v>
                      </c:pt>
                      <c:pt idx="55">
                        <c:v>-33.922737121582031</c:v>
                      </c:pt>
                      <c:pt idx="56">
                        <c:v>-34.18218994140625</c:v>
                      </c:pt>
                      <c:pt idx="57">
                        <c:v>-34.441642761230469</c:v>
                      </c:pt>
                      <c:pt idx="58">
                        <c:v>-34.701095581054688</c:v>
                      </c:pt>
                      <c:pt idx="59">
                        <c:v>-34.960548400878906</c:v>
                      </c:pt>
                      <c:pt idx="6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AB-4EBF-9A5F-D0240C581234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8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4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06773602454855"/>
          <c:y val="8.632633420822397E-2"/>
          <c:w val="0.82146151940596313"/>
          <c:h val="0.74734951881014877"/>
        </c:manualLayout>
      </c:layout>
      <c:scatterChart>
        <c:scatterStyle val="smoothMarker"/>
        <c:varyColors val="0"/>
        <c:ser>
          <c:idx val="2"/>
          <c:order val="2"/>
          <c:tx>
            <c:strRef>
              <c:f>Answ2!$A$5:$B$5</c:f>
              <c:strCache>
                <c:ptCount val="2"/>
                <c:pt idx="0">
                  <c:v>Fluid</c:v>
                </c:pt>
                <c:pt idx="1">
                  <c:v>H(Ge)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Answ2!$C$5:$BK$5</c:f>
              <c:numCache>
                <c:formatCode>General</c:formatCode>
                <c:ptCount val="61"/>
                <c:pt idx="0">
                  <c:v>1.7997987270355225</c:v>
                </c:pt>
                <c:pt idx="1">
                  <c:v>2.2197518348693848</c:v>
                </c:pt>
                <c:pt idx="2">
                  <c:v>2.6397049427032471</c:v>
                </c:pt>
                <c:pt idx="3">
                  <c:v>3.0596578121185303</c:v>
                </c:pt>
                <c:pt idx="4">
                  <c:v>3.4796109199523926</c:v>
                </c:pt>
                <c:pt idx="5">
                  <c:v>3.8995640277862549</c:v>
                </c:pt>
                <c:pt idx="6">
                  <c:v>4.3195171356201172</c:v>
                </c:pt>
                <c:pt idx="7">
                  <c:v>4.7394700050354004</c:v>
                </c:pt>
                <c:pt idx="8">
                  <c:v>5.1594228744506836</c:v>
                </c:pt>
                <c:pt idx="9">
                  <c:v>4.9577217102050781</c:v>
                </c:pt>
                <c:pt idx="10">
                  <c:v>4.1484131813049316</c:v>
                </c:pt>
                <c:pt idx="11">
                  <c:v>3.3391053676605225</c:v>
                </c:pt>
                <c:pt idx="12">
                  <c:v>2.5297966003417969</c:v>
                </c:pt>
                <c:pt idx="13">
                  <c:v>1.7204878330230713</c:v>
                </c:pt>
                <c:pt idx="14">
                  <c:v>0.91118013858795166</c:v>
                </c:pt>
                <c:pt idx="15">
                  <c:v>0.3026929497718811</c:v>
                </c:pt>
                <c:pt idx="16">
                  <c:v>-0.22795909643173218</c:v>
                </c:pt>
                <c:pt idx="17">
                  <c:v>-0.71716231107711792</c:v>
                </c:pt>
                <c:pt idx="18">
                  <c:v>-1.1574499607086182</c:v>
                </c:pt>
                <c:pt idx="19">
                  <c:v>-1.5686105489730835</c:v>
                </c:pt>
                <c:pt idx="20">
                  <c:v>-1.9477295875549316</c:v>
                </c:pt>
                <c:pt idx="21">
                  <c:v>-2.229790210723877</c:v>
                </c:pt>
                <c:pt idx="22">
                  <c:v>-2.5118510723114014</c:v>
                </c:pt>
                <c:pt idx="23">
                  <c:v>-2.793912410736084</c:v>
                </c:pt>
                <c:pt idx="24">
                  <c:v>-3.0759732723236084</c:v>
                </c:pt>
                <c:pt idx="25">
                  <c:v>-3.3580338954925537</c:v>
                </c:pt>
                <c:pt idx="26">
                  <c:v>-3.6187207698822021</c:v>
                </c:pt>
                <c:pt idx="27">
                  <c:v>-3.8373832702636719</c:v>
                </c:pt>
                <c:pt idx="28">
                  <c:v>-4.0445823669433594</c:v>
                </c:pt>
                <c:pt idx="29">
                  <c:v>-4.2426037788391113</c:v>
                </c:pt>
                <c:pt idx="30">
                  <c:v>-4.4310684204101563</c:v>
                </c:pt>
                <c:pt idx="31">
                  <c:v>-4.602226734161377</c:v>
                </c:pt>
                <c:pt idx="32">
                  <c:v>-4.7326774597167969</c:v>
                </c:pt>
                <c:pt idx="33">
                  <c:v>-4.8377208709716797</c:v>
                </c:pt>
                <c:pt idx="34">
                  <c:v>-4.9427642822265625</c:v>
                </c:pt>
                <c:pt idx="35">
                  <c:v>-5.0478081703186035</c:v>
                </c:pt>
                <c:pt idx="36">
                  <c:v>-5.1528520584106445</c:v>
                </c:pt>
                <c:pt idx="37">
                  <c:v>-5.2578954696655273</c:v>
                </c:pt>
                <c:pt idx="38">
                  <c:v>-5.3164811134338379</c:v>
                </c:pt>
                <c:pt idx="39">
                  <c:v>-5.3667278289794922</c:v>
                </c:pt>
                <c:pt idx="40">
                  <c:v>-5.413818359375</c:v>
                </c:pt>
                <c:pt idx="41">
                  <c:v>-5.4710907936096191</c:v>
                </c:pt>
                <c:pt idx="42">
                  <c:v>-5.5338788032531738</c:v>
                </c:pt>
                <c:pt idx="43">
                  <c:v>-5.6030049324035645</c:v>
                </c:pt>
                <c:pt idx="44">
                  <c:v>-5.6838006973266602</c:v>
                </c:pt>
                <c:pt idx="45">
                  <c:v>-5.7645969390869141</c:v>
                </c:pt>
                <c:pt idx="46">
                  <c:v>-5.845393180847168</c:v>
                </c:pt>
                <c:pt idx="47">
                  <c:v>-5.9261889457702637</c:v>
                </c:pt>
                <c:pt idx="48">
                  <c:v>-6.0069851875305176</c:v>
                </c:pt>
                <c:pt idx="49">
                  <c:v>-6.0910801887512207</c:v>
                </c:pt>
                <c:pt idx="50">
                  <c:v>-6.1793255805969238</c:v>
                </c:pt>
                <c:pt idx="51">
                  <c:v>-6.2675714492797852</c:v>
                </c:pt>
                <c:pt idx="52">
                  <c:v>-6.3558173179626465</c:v>
                </c:pt>
                <c:pt idx="53">
                  <c:v>-6.4440622329711914</c:v>
                </c:pt>
                <c:pt idx="54">
                  <c:v>-6.5323081016540527</c:v>
                </c:pt>
                <c:pt idx="55">
                  <c:v>-6.616572380065918</c:v>
                </c:pt>
                <c:pt idx="56">
                  <c:v>-6.6994576454162598</c:v>
                </c:pt>
                <c:pt idx="57">
                  <c:v>-6.7823433876037598</c:v>
                </c:pt>
                <c:pt idx="58">
                  <c:v>-6.8652291297912598</c:v>
                </c:pt>
                <c:pt idx="59">
                  <c:v>-6.9481143951416016</c:v>
                </c:pt>
                <c:pt idx="60">
                  <c:v>-7.0310001373291016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FB-4B1B-B814-E8BD25B1B379}"/>
            </c:ext>
          </c:extLst>
        </c:ser>
        <c:ser>
          <c:idx val="6"/>
          <c:order val="6"/>
          <c:tx>
            <c:strRef>
              <c:f>Answ2!$A$9:$B$9</c:f>
              <c:strCache>
                <c:ptCount val="2"/>
                <c:pt idx="0">
                  <c:v>Solid</c:v>
                </c:pt>
                <c:pt idx="1">
                  <c:v>H(Ge)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Answ2!$C$2:$BK$2</c:f>
              <c:numCache>
                <c:formatCode>General</c:formatCode>
                <c:ptCount val="61"/>
                <c:pt idx="0">
                  <c:v>100</c:v>
                </c:pt>
                <c:pt idx="1">
                  <c:v>123.33333587646484</c:v>
                </c:pt>
                <c:pt idx="2">
                  <c:v>146.66667175292969</c:v>
                </c:pt>
                <c:pt idx="3">
                  <c:v>170</c:v>
                </c:pt>
                <c:pt idx="4">
                  <c:v>193.33332824707031</c:v>
                </c:pt>
                <c:pt idx="5">
                  <c:v>216.66667175292969</c:v>
                </c:pt>
                <c:pt idx="6">
                  <c:v>240</c:v>
                </c:pt>
                <c:pt idx="7">
                  <c:v>263.33334350585938</c:v>
                </c:pt>
                <c:pt idx="8">
                  <c:v>286.66665649414063</c:v>
                </c:pt>
                <c:pt idx="9">
                  <c:v>310</c:v>
                </c:pt>
                <c:pt idx="10">
                  <c:v>333.33334350585938</c:v>
                </c:pt>
                <c:pt idx="11">
                  <c:v>356.66665649414063</c:v>
                </c:pt>
                <c:pt idx="12">
                  <c:v>380</c:v>
                </c:pt>
                <c:pt idx="13">
                  <c:v>403.33334350585938</c:v>
                </c:pt>
                <c:pt idx="14">
                  <c:v>426.66665649414063</c:v>
                </c:pt>
                <c:pt idx="15">
                  <c:v>450</c:v>
                </c:pt>
                <c:pt idx="16">
                  <c:v>473.33334350585938</c:v>
                </c:pt>
                <c:pt idx="17">
                  <c:v>496.66665649414063</c:v>
                </c:pt>
                <c:pt idx="18">
                  <c:v>520</c:v>
                </c:pt>
                <c:pt idx="19">
                  <c:v>543.33331298828125</c:v>
                </c:pt>
                <c:pt idx="20">
                  <c:v>566.66668701171875</c:v>
                </c:pt>
                <c:pt idx="21">
                  <c:v>590</c:v>
                </c:pt>
                <c:pt idx="22">
                  <c:v>613.33331298828125</c:v>
                </c:pt>
                <c:pt idx="23">
                  <c:v>636.66668701171875</c:v>
                </c:pt>
                <c:pt idx="24">
                  <c:v>660</c:v>
                </c:pt>
                <c:pt idx="25">
                  <c:v>683.33331298828125</c:v>
                </c:pt>
                <c:pt idx="26">
                  <c:v>706.66668701171875</c:v>
                </c:pt>
                <c:pt idx="27">
                  <c:v>730</c:v>
                </c:pt>
                <c:pt idx="28">
                  <c:v>753.33331298828125</c:v>
                </c:pt>
                <c:pt idx="29">
                  <c:v>776.66668701171875</c:v>
                </c:pt>
                <c:pt idx="30">
                  <c:v>800</c:v>
                </c:pt>
                <c:pt idx="31">
                  <c:v>823.33331298828125</c:v>
                </c:pt>
                <c:pt idx="32">
                  <c:v>846.66668701171875</c:v>
                </c:pt>
                <c:pt idx="33">
                  <c:v>870</c:v>
                </c:pt>
                <c:pt idx="34">
                  <c:v>893.33331298828125</c:v>
                </c:pt>
                <c:pt idx="35">
                  <c:v>916.66668701171875</c:v>
                </c:pt>
                <c:pt idx="36">
                  <c:v>940</c:v>
                </c:pt>
                <c:pt idx="37">
                  <c:v>963.33331298828125</c:v>
                </c:pt>
                <c:pt idx="38">
                  <c:v>986.66668701171875</c:v>
                </c:pt>
                <c:pt idx="39">
                  <c:v>1010</c:v>
                </c:pt>
                <c:pt idx="40">
                  <c:v>1033.3333740234375</c:v>
                </c:pt>
                <c:pt idx="41">
                  <c:v>1056.6666259765625</c:v>
                </c:pt>
                <c:pt idx="42">
                  <c:v>1080</c:v>
                </c:pt>
                <c:pt idx="43">
                  <c:v>1103.3333740234375</c:v>
                </c:pt>
                <c:pt idx="44">
                  <c:v>1126.6666259765625</c:v>
                </c:pt>
                <c:pt idx="45">
                  <c:v>1150</c:v>
                </c:pt>
                <c:pt idx="46">
                  <c:v>1173.3333740234375</c:v>
                </c:pt>
                <c:pt idx="47">
                  <c:v>1196.6666259765625</c:v>
                </c:pt>
                <c:pt idx="48">
                  <c:v>1220</c:v>
                </c:pt>
                <c:pt idx="49">
                  <c:v>1243.3333740234375</c:v>
                </c:pt>
                <c:pt idx="50">
                  <c:v>1266.6666259765625</c:v>
                </c:pt>
                <c:pt idx="51">
                  <c:v>1290</c:v>
                </c:pt>
                <c:pt idx="52">
                  <c:v>1313.3333740234375</c:v>
                </c:pt>
                <c:pt idx="53">
                  <c:v>1336.6666259765625</c:v>
                </c:pt>
                <c:pt idx="54">
                  <c:v>1360</c:v>
                </c:pt>
                <c:pt idx="55">
                  <c:v>1383.3333740234375</c:v>
                </c:pt>
                <c:pt idx="56">
                  <c:v>1406.6666259765625</c:v>
                </c:pt>
                <c:pt idx="57">
                  <c:v>1430</c:v>
                </c:pt>
                <c:pt idx="58">
                  <c:v>1453.3333740234375</c:v>
                </c:pt>
                <c:pt idx="59">
                  <c:v>1476.6666259765625</c:v>
                </c:pt>
                <c:pt idx="60">
                  <c:v>1500</c:v>
                </c:pt>
              </c:numCache>
            </c:numRef>
          </c:xVal>
          <c:yVal>
            <c:numRef>
              <c:f>Answ2!$C$9:$BK$9</c:f>
              <c:numCache>
                <c:formatCode>General</c:formatCode>
                <c:ptCount val="61"/>
                <c:pt idx="0">
                  <c:v>-5.1475520133972168</c:v>
                </c:pt>
                <c:pt idx="1">
                  <c:v>-6.3486475944519043</c:v>
                </c:pt>
                <c:pt idx="2">
                  <c:v>-7.5497431755065918</c:v>
                </c:pt>
                <c:pt idx="3">
                  <c:v>-8.7508382797241211</c:v>
                </c:pt>
                <c:pt idx="4">
                  <c:v>-9.9519338607788086</c:v>
                </c:pt>
                <c:pt idx="5">
                  <c:v>-11.153029441833496</c:v>
                </c:pt>
                <c:pt idx="6">
                  <c:v>-12.354125022888184</c:v>
                </c:pt>
                <c:pt idx="7">
                  <c:v>-13.555220603942871</c:v>
                </c:pt>
                <c:pt idx="8">
                  <c:v>-14.756315231323242</c:v>
                </c:pt>
                <c:pt idx="9">
                  <c:v>-14.999189376831055</c:v>
                </c:pt>
                <c:pt idx="10">
                  <c:v>-14.246925354003906</c:v>
                </c:pt>
                <c:pt idx="11">
                  <c:v>-12.807805061340332</c:v>
                </c:pt>
                <c:pt idx="12">
                  <c:v>-11.264699935913086</c:v>
                </c:pt>
                <c:pt idx="13">
                  <c:v>-9.7102594375610352</c:v>
                </c:pt>
                <c:pt idx="14">
                  <c:v>-8.3207406997680664</c:v>
                </c:pt>
                <c:pt idx="15">
                  <c:v>-7.0670995712280273</c:v>
                </c:pt>
                <c:pt idx="16">
                  <c:v>-5.8993930816650391</c:v>
                </c:pt>
                <c:pt idx="17">
                  <c:v>-4.8207511901855469</c:v>
                </c:pt>
                <c:pt idx="18">
                  <c:v>-4.3518404960632324</c:v>
                </c:pt>
                <c:pt idx="19">
                  <c:v>-4.1693153381347656</c:v>
                </c:pt>
                <c:pt idx="20">
                  <c:v>-4.2266230583190918</c:v>
                </c:pt>
                <c:pt idx="21">
                  <c:v>-4.2842574119567871</c:v>
                </c:pt>
                <c:pt idx="22">
                  <c:v>-4.3418922424316406</c:v>
                </c:pt>
                <c:pt idx="23">
                  <c:v>-4.3995270729064941</c:v>
                </c:pt>
                <c:pt idx="24">
                  <c:v>-4.4571619033813477</c:v>
                </c:pt>
                <c:pt idx="25">
                  <c:v>-4.514796257019043</c:v>
                </c:pt>
                <c:pt idx="26">
                  <c:v>-4.5718564987182617</c:v>
                </c:pt>
                <c:pt idx="27">
                  <c:v>-4.6277866363525391</c:v>
                </c:pt>
                <c:pt idx="28">
                  <c:v>-4.6837167739868164</c:v>
                </c:pt>
                <c:pt idx="29">
                  <c:v>-4.7396469116210938</c:v>
                </c:pt>
                <c:pt idx="30">
                  <c:v>-4.7955770492553711</c:v>
                </c:pt>
                <c:pt idx="31">
                  <c:v>-4.8515071868896484</c:v>
                </c:pt>
                <c:pt idx="32">
                  <c:v>-4.9054999351501465</c:v>
                </c:pt>
                <c:pt idx="33">
                  <c:v>-4.9582839012145996</c:v>
                </c:pt>
                <c:pt idx="34">
                  <c:v>-5.0110678672790527</c:v>
                </c:pt>
                <c:pt idx="35">
                  <c:v>-5.0638523101806641</c:v>
                </c:pt>
                <c:pt idx="36">
                  <c:v>-5.1166362762451172</c:v>
                </c:pt>
                <c:pt idx="37">
                  <c:v>-5.1694202423095703</c:v>
                </c:pt>
                <c:pt idx="38">
                  <c:v>-5.2199821472167969</c:v>
                </c:pt>
                <c:pt idx="39">
                  <c:v>-5.2696866989135742</c:v>
                </c:pt>
                <c:pt idx="40">
                  <c:v>-5.3187170028686523</c:v>
                </c:pt>
                <c:pt idx="41">
                  <c:v>-5.3689188957214355</c:v>
                </c:pt>
                <c:pt idx="42">
                  <c:v>-5.4182729721069336</c:v>
                </c:pt>
                <c:pt idx="43">
                  <c:v>-5.4686393737792969</c:v>
                </c:pt>
                <c:pt idx="44">
                  <c:v>-5.5259280204772949</c:v>
                </c:pt>
                <c:pt idx="45">
                  <c:v>-5.583216667175293</c:v>
                </c:pt>
                <c:pt idx="46">
                  <c:v>-5.640505313873291</c:v>
                </c:pt>
                <c:pt idx="47">
                  <c:v>-5.6977934837341309</c:v>
                </c:pt>
                <c:pt idx="48">
                  <c:v>-5.7550821304321289</c:v>
                </c:pt>
                <c:pt idx="49">
                  <c:v>-5.8336944580078125</c:v>
                </c:pt>
                <c:pt idx="50">
                  <c:v>-5.9391326904296875</c:v>
                </c:pt>
                <c:pt idx="51">
                  <c:v>-6.0445713996887207</c:v>
                </c:pt>
                <c:pt idx="52">
                  <c:v>-6.1500101089477539</c:v>
                </c:pt>
                <c:pt idx="53">
                  <c:v>-6.2554483413696289</c:v>
                </c:pt>
                <c:pt idx="54">
                  <c:v>-6.3608870506286621</c:v>
                </c:pt>
                <c:pt idx="55">
                  <c:v>-6.4578433036804199</c:v>
                </c:pt>
                <c:pt idx="56">
                  <c:v>-6.5518684387207031</c:v>
                </c:pt>
                <c:pt idx="57">
                  <c:v>-6.645909309387207</c:v>
                </c:pt>
                <c:pt idx="58">
                  <c:v>-6.7351474761962891</c:v>
                </c:pt>
                <c:pt idx="59">
                  <c:v>-6.8233232498168945</c:v>
                </c:pt>
                <c:pt idx="60">
                  <c:v>-6.9109997749328613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FFB-4B1B-B814-E8BD25B1B379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Answ2!$A$1:$A$2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Answ2!$B$1:$B$2</c:f>
              <c:numCache>
                <c:formatCode>General</c:formatCode>
                <c:ptCount val="2"/>
                <c:pt idx="0">
                  <c:v>-200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FFB-4B1B-B814-E8BD25B1B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Answ2!$A$3:$B$3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H(Аг)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Answ2!$C$3:$BK$3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-6.2407779693603516</c:v>
                      </c:pt>
                      <c:pt idx="1">
                        <c:v>-7.6969594955444336</c:v>
                      </c:pt>
                      <c:pt idx="2">
                        <c:v>-9.1531410217285156</c:v>
                      </c:pt>
                      <c:pt idx="3">
                        <c:v>-10.609322547912598</c:v>
                      </c:pt>
                      <c:pt idx="4">
                        <c:v>-12.06550407409668</c:v>
                      </c:pt>
                      <c:pt idx="5">
                        <c:v>-13.521685600280762</c:v>
                      </c:pt>
                      <c:pt idx="6">
                        <c:v>-14.977867126464844</c:v>
                      </c:pt>
                      <c:pt idx="7">
                        <c:v>-16.434049606323242</c:v>
                      </c:pt>
                      <c:pt idx="8">
                        <c:v>-17.890230178833008</c:v>
                      </c:pt>
                      <c:pt idx="9">
                        <c:v>-18.623258590698242</c:v>
                      </c:pt>
                      <c:pt idx="10">
                        <c:v>-18.649477005004883</c:v>
                      </c:pt>
                      <c:pt idx="11">
                        <c:v>-18.675693511962891</c:v>
                      </c:pt>
                      <c:pt idx="12">
                        <c:v>-18.701910018920898</c:v>
                      </c:pt>
                      <c:pt idx="13">
                        <c:v>-18.728128433227539</c:v>
                      </c:pt>
                      <c:pt idx="14">
                        <c:v>-18.754344940185547</c:v>
                      </c:pt>
                      <c:pt idx="15">
                        <c:v>-18.79835319519043</c:v>
                      </c:pt>
                      <c:pt idx="16">
                        <c:v>-18.847255706787109</c:v>
                      </c:pt>
                      <c:pt idx="17">
                        <c:v>-18.896158218383789</c:v>
                      </c:pt>
                      <c:pt idx="18">
                        <c:v>-18.945194244384766</c:v>
                      </c:pt>
                      <c:pt idx="19">
                        <c:v>-19.001077651977539</c:v>
                      </c:pt>
                      <c:pt idx="20">
                        <c:v>-19.065269470214844</c:v>
                      </c:pt>
                      <c:pt idx="21">
                        <c:v>-19.149101257324219</c:v>
                      </c:pt>
                      <c:pt idx="22">
                        <c:v>-19.232934951782227</c:v>
                      </c:pt>
                      <c:pt idx="23">
                        <c:v>-19.316766738891602</c:v>
                      </c:pt>
                      <c:pt idx="24">
                        <c:v>-19.400598526000977</c:v>
                      </c:pt>
                      <c:pt idx="25">
                        <c:v>-19.484432220458984</c:v>
                      </c:pt>
                      <c:pt idx="26">
                        <c:v>-19.565908432006836</c:v>
                      </c:pt>
                      <c:pt idx="27">
                        <c:v>-19.642753601074219</c:v>
                      </c:pt>
                      <c:pt idx="28">
                        <c:v>-19.719810485839844</c:v>
                      </c:pt>
                      <c:pt idx="29">
                        <c:v>-19.790090560913086</c:v>
                      </c:pt>
                      <c:pt idx="30">
                        <c:v>-19.853294372558594</c:v>
                      </c:pt>
                      <c:pt idx="31">
                        <c:v>-19.923154830932617</c:v>
                      </c:pt>
                      <c:pt idx="32">
                        <c:v>-20.000579833984375</c:v>
                      </c:pt>
                      <c:pt idx="33">
                        <c:v>-20.082727432250977</c:v>
                      </c:pt>
                      <c:pt idx="34">
                        <c:v>-20.164875030517578</c:v>
                      </c:pt>
                      <c:pt idx="35">
                        <c:v>-20.247020721435547</c:v>
                      </c:pt>
                      <c:pt idx="36">
                        <c:v>-20.329168319702148</c:v>
                      </c:pt>
                      <c:pt idx="37">
                        <c:v>-20.41131591796875</c:v>
                      </c:pt>
                      <c:pt idx="38">
                        <c:v>-20.494970321655273</c:v>
                      </c:pt>
                      <c:pt idx="39">
                        <c:v>-20.578344345092773</c:v>
                      </c:pt>
                      <c:pt idx="40">
                        <c:v>-20.6610107421875</c:v>
                      </c:pt>
                      <c:pt idx="41">
                        <c:v>-20.731718063354492</c:v>
                      </c:pt>
                      <c:pt idx="42">
                        <c:v>-20.798181533813477</c:v>
                      </c:pt>
                      <c:pt idx="43">
                        <c:v>-20.858732223510742</c:v>
                      </c:pt>
                      <c:pt idx="44">
                        <c:v>-20.905746459960938</c:v>
                      </c:pt>
                      <c:pt idx="45">
                        <c:v>-20.952762603759766</c:v>
                      </c:pt>
                      <c:pt idx="46">
                        <c:v>-20.999776840209961</c:v>
                      </c:pt>
                      <c:pt idx="47">
                        <c:v>-21.046791076660156</c:v>
                      </c:pt>
                      <c:pt idx="48">
                        <c:v>-21.093807220458984</c:v>
                      </c:pt>
                      <c:pt idx="49">
                        <c:v>-21.137094497680664</c:v>
                      </c:pt>
                      <c:pt idx="50">
                        <c:v>-21.175689697265625</c:v>
                      </c:pt>
                      <c:pt idx="51">
                        <c:v>-21.214286804199219</c:v>
                      </c:pt>
                      <c:pt idx="52">
                        <c:v>-21.25288200378418</c:v>
                      </c:pt>
                      <c:pt idx="53">
                        <c:v>-21.291479110717773</c:v>
                      </c:pt>
                      <c:pt idx="54">
                        <c:v>-21.330076217651367</c:v>
                      </c:pt>
                      <c:pt idx="55">
                        <c:v>-21.364578247070313</c:v>
                      </c:pt>
                      <c:pt idx="56">
                        <c:v>-21.397661209106445</c:v>
                      </c:pt>
                      <c:pt idx="57">
                        <c:v>-21.430746078491211</c:v>
                      </c:pt>
                      <c:pt idx="58">
                        <c:v>-21.463830947875977</c:v>
                      </c:pt>
                      <c:pt idx="59">
                        <c:v>-21.496915817260742</c:v>
                      </c:pt>
                      <c:pt idx="60">
                        <c:v>-21.530000686645508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FFB-4B1B-B814-E8BD25B1B37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Answ2!$A$4:$B$4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Answ2!$C$4:$BK$4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-2.0945672988891602</c:v>
                      </c:pt>
                      <c:pt idx="1">
                        <c:v>-2.5832996368408203</c:v>
                      </c:pt>
                      <c:pt idx="2">
                        <c:v>-3.0720319747924805</c:v>
                      </c:pt>
                      <c:pt idx="3">
                        <c:v>-3.5607643127441406</c:v>
                      </c:pt>
                      <c:pt idx="4">
                        <c:v>-4.0494966506958008</c:v>
                      </c:pt>
                      <c:pt idx="5">
                        <c:v>-4.5382289886474609</c:v>
                      </c:pt>
                      <c:pt idx="6">
                        <c:v>-5.0269613265991211</c:v>
                      </c:pt>
                      <c:pt idx="7">
                        <c:v>-5.5156941413879395</c:v>
                      </c:pt>
                      <c:pt idx="8">
                        <c:v>-6.0044260025024414</c:v>
                      </c:pt>
                      <c:pt idx="9">
                        <c:v>-6.3257269859313965</c:v>
                      </c:pt>
                      <c:pt idx="10">
                        <c:v>-6.4833798408508301</c:v>
                      </c:pt>
                      <c:pt idx="11">
                        <c:v>-6.6410326957702637</c:v>
                      </c:pt>
                      <c:pt idx="12">
                        <c:v>-6.7986860275268555</c:v>
                      </c:pt>
                      <c:pt idx="13">
                        <c:v>-6.9563388824462891</c:v>
                      </c:pt>
                      <c:pt idx="14">
                        <c:v>-7.1139917373657227</c:v>
                      </c:pt>
                      <c:pt idx="15">
                        <c:v>-7.2553892135620117</c:v>
                      </c:pt>
                      <c:pt idx="16">
                        <c:v>-7.3900966644287109</c:v>
                      </c:pt>
                      <c:pt idx="17">
                        <c:v>-7.5207357406616211</c:v>
                      </c:pt>
                      <c:pt idx="18">
                        <c:v>-7.650444507598877</c:v>
                      </c:pt>
                      <c:pt idx="19">
                        <c:v>-7.781954288482666</c:v>
                      </c:pt>
                      <c:pt idx="20">
                        <c:v>-7.9187793731689453</c:v>
                      </c:pt>
                      <c:pt idx="21">
                        <c:v>-8.1061792373657227</c:v>
                      </c:pt>
                      <c:pt idx="22">
                        <c:v>-8.2935791015625</c:v>
                      </c:pt>
                      <c:pt idx="23">
                        <c:v>-8.4809799194335938</c:v>
                      </c:pt>
                      <c:pt idx="24">
                        <c:v>-8.6683797836303711</c:v>
                      </c:pt>
                      <c:pt idx="25">
                        <c:v>-8.8557796478271484</c:v>
                      </c:pt>
                      <c:pt idx="26">
                        <c:v>-9.0593729019165039</c:v>
                      </c:pt>
                      <c:pt idx="27">
                        <c:v>-9.2948026657104492</c:v>
                      </c:pt>
                      <c:pt idx="28">
                        <c:v>-9.5264291763305664</c:v>
                      </c:pt>
                      <c:pt idx="29">
                        <c:v>-9.7526493072509766</c:v>
                      </c:pt>
                      <c:pt idx="30">
                        <c:v>-9.9727811813354492</c:v>
                      </c:pt>
                      <c:pt idx="31">
                        <c:v>-10.180266380310059</c:v>
                      </c:pt>
                      <c:pt idx="32">
                        <c:v>-10.369768142700195</c:v>
                      </c:pt>
                      <c:pt idx="33">
                        <c:v>-10.54804515838623</c:v>
                      </c:pt>
                      <c:pt idx="34">
                        <c:v>-10.726322174072266</c:v>
                      </c:pt>
                      <c:pt idx="35">
                        <c:v>-10.904599189758301</c:v>
                      </c:pt>
                      <c:pt idx="36">
                        <c:v>-11.082876205444336</c:v>
                      </c:pt>
                      <c:pt idx="37">
                        <c:v>-11.261153221130371</c:v>
                      </c:pt>
                      <c:pt idx="38">
                        <c:v>-11.411197662353516</c:v>
                      </c:pt>
                      <c:pt idx="39">
                        <c:v>-11.544319152832031</c:v>
                      </c:pt>
                      <c:pt idx="40">
                        <c:v>-11.661515235900879</c:v>
                      </c:pt>
                      <c:pt idx="41">
                        <c:v>-11.767576217651367</c:v>
                      </c:pt>
                      <c:pt idx="42">
                        <c:v>-11.865151405334473</c:v>
                      </c:pt>
                      <c:pt idx="43">
                        <c:v>-11.952935218811035</c:v>
                      </c:pt>
                      <c:pt idx="44">
                        <c:v>-12.022586822509766</c:v>
                      </c:pt>
                      <c:pt idx="45">
                        <c:v>-12.092238426208496</c:v>
                      </c:pt>
                      <c:pt idx="46">
                        <c:v>-12.161890983581543</c:v>
                      </c:pt>
                      <c:pt idx="47">
                        <c:v>-12.231542587280273</c:v>
                      </c:pt>
                      <c:pt idx="48">
                        <c:v>-12.301194190979004</c:v>
                      </c:pt>
                      <c:pt idx="49">
                        <c:v>-12.36408519744873</c:v>
                      </c:pt>
                      <c:pt idx="50">
                        <c:v>-12.418471336364746</c:v>
                      </c:pt>
                      <c:pt idx="51">
                        <c:v>-12.472857475280762</c:v>
                      </c:pt>
                      <c:pt idx="52">
                        <c:v>-12.527242660522461</c:v>
                      </c:pt>
                      <c:pt idx="53">
                        <c:v>-12.581628799438477</c:v>
                      </c:pt>
                      <c:pt idx="54">
                        <c:v>-12.636014938354492</c:v>
                      </c:pt>
                      <c:pt idx="55">
                        <c:v>-12.684925079345703</c:v>
                      </c:pt>
                      <c:pt idx="56">
                        <c:v>-12.731940269470215</c:v>
                      </c:pt>
                      <c:pt idx="57">
                        <c:v>-12.778955459594727</c:v>
                      </c:pt>
                      <c:pt idx="58">
                        <c:v>-12.825969696044922</c:v>
                      </c:pt>
                      <c:pt idx="59">
                        <c:v>-12.872984886169434</c:v>
                      </c:pt>
                      <c:pt idx="60">
                        <c:v>-12.920000076293945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FFB-4B1B-B814-E8BD25B1B37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Answ2!$A$6:$B$6</c15:sqref>
                        </c15:formulaRef>
                      </c:ext>
                    </c:extLst>
                    <c:strCache>
                      <c:ptCount val="2"/>
                      <c:pt idx="0">
                        <c:v>Fluid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Answ2!$C$6:$BK$6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-1.6177061796188354</c:v>
                      </c:pt>
                      <c:pt idx="1">
                        <c:v>-1.9951709508895874</c:v>
                      </c:pt>
                      <c:pt idx="2">
                        <c:v>-2.3726358413696289</c:v>
                      </c:pt>
                      <c:pt idx="3">
                        <c:v>-2.7501003742218018</c:v>
                      </c:pt>
                      <c:pt idx="4">
                        <c:v>-3.1275651454925537</c:v>
                      </c:pt>
                      <c:pt idx="5">
                        <c:v>-3.5050299167633057</c:v>
                      </c:pt>
                      <c:pt idx="6">
                        <c:v>-3.8824946880340576</c:v>
                      </c:pt>
                      <c:pt idx="7">
                        <c:v>-4.2599596977233887</c:v>
                      </c:pt>
                      <c:pt idx="8">
                        <c:v>-4.6374239921569824</c:v>
                      </c:pt>
                      <c:pt idx="9">
                        <c:v>-4.8921480178833008</c:v>
                      </c:pt>
                      <c:pt idx="10">
                        <c:v>-5.0269045829772949</c:v>
                      </c:pt>
                      <c:pt idx="11">
                        <c:v>-5.1616611480712891</c:v>
                      </c:pt>
                      <c:pt idx="12">
                        <c:v>-5.2964177131652832</c:v>
                      </c:pt>
                      <c:pt idx="13">
                        <c:v>-5.4311742782592773</c:v>
                      </c:pt>
                      <c:pt idx="14">
                        <c:v>-5.5659308433532715</c:v>
                      </c:pt>
                      <c:pt idx="15">
                        <c:v>-5.7007455825805664</c:v>
                      </c:pt>
                      <c:pt idx="16">
                        <c:v>-5.8340969085693359</c:v>
                      </c:pt>
                      <c:pt idx="17">
                        <c:v>-5.9647355079650879</c:v>
                      </c:pt>
                      <c:pt idx="18">
                        <c:v>-6.0912165641784668</c:v>
                      </c:pt>
                      <c:pt idx="19">
                        <c:v>-6.214047908782959</c:v>
                      </c:pt>
                      <c:pt idx="20">
                        <c:v>-6.3321042060852051</c:v>
                      </c:pt>
                      <c:pt idx="21">
                        <c:v>-6.4292097091674805</c:v>
                      </c:pt>
                      <c:pt idx="22">
                        <c:v>-6.5263152122497559</c:v>
                      </c:pt>
                      <c:pt idx="23">
                        <c:v>-6.6234211921691895</c:v>
                      </c:pt>
                      <c:pt idx="24">
                        <c:v>-6.720527172088623</c:v>
                      </c:pt>
                      <c:pt idx="25">
                        <c:v>-6.8176326751708984</c:v>
                      </c:pt>
                      <c:pt idx="26">
                        <c:v>-6.9112057685852051</c:v>
                      </c:pt>
                      <c:pt idx="27">
                        <c:v>-6.9978322982788086</c:v>
                      </c:pt>
                      <c:pt idx="28">
                        <c:v>-7.0859637260437012</c:v>
                      </c:pt>
                      <c:pt idx="29">
                        <c:v>-7.1751289367675781</c:v>
                      </c:pt>
                      <c:pt idx="30">
                        <c:v>-7.2653803825378418</c:v>
                      </c:pt>
                      <c:pt idx="31">
                        <c:v>-7.3582944869995117</c:v>
                      </c:pt>
                      <c:pt idx="32">
                        <c:v>-7.4636273384094238</c:v>
                      </c:pt>
                      <c:pt idx="33">
                        <c:v>-7.5767111778259277</c:v>
                      </c:pt>
                      <c:pt idx="34">
                        <c:v>-7.6897945404052734</c:v>
                      </c:pt>
                      <c:pt idx="35">
                        <c:v>-7.8028783798217773</c:v>
                      </c:pt>
                      <c:pt idx="36">
                        <c:v>-7.9159622192382813</c:v>
                      </c:pt>
                      <c:pt idx="37">
                        <c:v>-8.0290460586547852</c:v>
                      </c:pt>
                      <c:pt idx="38">
                        <c:v>-8.1728229522705078</c:v>
                      </c:pt>
                      <c:pt idx="39">
                        <c:v>-8.3254909515380859</c:v>
                      </c:pt>
                      <c:pt idx="40">
                        <c:v>-8.4844856262207031</c:v>
                      </c:pt>
                      <c:pt idx="41">
                        <c:v>-8.6584234237670898</c:v>
                      </c:pt>
                      <c:pt idx="42">
                        <c:v>-8.8357572555541992</c:v>
                      </c:pt>
                      <c:pt idx="43">
                        <c:v>-9.0138864517211914</c:v>
                      </c:pt>
                      <c:pt idx="44">
                        <c:v>-9.185577392578125</c:v>
                      </c:pt>
                      <c:pt idx="45">
                        <c:v>-9.357269287109375</c:v>
                      </c:pt>
                      <c:pt idx="46">
                        <c:v>-9.528961181640625</c:v>
                      </c:pt>
                      <c:pt idx="47">
                        <c:v>-9.7006521224975586</c:v>
                      </c:pt>
                      <c:pt idx="48">
                        <c:v>-9.8723440170288086</c:v>
                      </c:pt>
                      <c:pt idx="49">
                        <c:v>-10.03497314453125</c:v>
                      </c:pt>
                      <c:pt idx="50">
                        <c:v>-10.186200141906738</c:v>
                      </c:pt>
                      <c:pt idx="51">
                        <c:v>-10.337429046630859</c:v>
                      </c:pt>
                      <c:pt idx="52">
                        <c:v>-10.488656997680664</c:v>
                      </c:pt>
                      <c:pt idx="53">
                        <c:v>-10.639884948730469</c:v>
                      </c:pt>
                      <c:pt idx="54">
                        <c:v>-10.791112899780273</c:v>
                      </c:pt>
                      <c:pt idx="55">
                        <c:v>-10.92442798614502</c:v>
                      </c:pt>
                      <c:pt idx="56">
                        <c:v>-11.051542282104492</c:v>
                      </c:pt>
                      <c:pt idx="57">
                        <c:v>-11.178656578063965</c:v>
                      </c:pt>
                      <c:pt idx="58">
                        <c:v>-11.305771827697754</c:v>
                      </c:pt>
                      <c:pt idx="59">
                        <c:v>-11.432886123657227</c:v>
                      </c:pt>
                      <c:pt idx="60">
                        <c:v>-11.560000419616699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FFB-4B1B-B814-E8BD25B1B37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Answ2!$A$7:$B$7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Answ2!$C$7:$BK$7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-6.3782696723937988</c:v>
                      </c:pt>
                      <c:pt idx="1">
                        <c:v>-7.8665323257446289</c:v>
                      </c:pt>
                      <c:pt idx="2">
                        <c:v>-9.3547954559326172</c:v>
                      </c:pt>
                      <c:pt idx="3">
                        <c:v>-10.843058586120605</c:v>
                      </c:pt>
                      <c:pt idx="4">
                        <c:v>-12.331320762634277</c:v>
                      </c:pt>
                      <c:pt idx="5">
                        <c:v>-13.819583892822266</c:v>
                      </c:pt>
                      <c:pt idx="6">
                        <c:v>-15.307847023010254</c:v>
                      </c:pt>
                      <c:pt idx="7">
                        <c:v>-16.796110153198242</c:v>
                      </c:pt>
                      <c:pt idx="8">
                        <c:v>-18.284372329711914</c:v>
                      </c:pt>
                      <c:pt idx="9">
                        <c:v>-19.023544311523438</c:v>
                      </c:pt>
                      <c:pt idx="10">
                        <c:v>-19.031646728515625</c:v>
                      </c:pt>
                      <c:pt idx="11">
                        <c:v>-19.052604675292969</c:v>
                      </c:pt>
                      <c:pt idx="12">
                        <c:v>-19.082605361938477</c:v>
                      </c:pt>
                      <c:pt idx="13">
                        <c:v>-19.119043350219727</c:v>
                      </c:pt>
                      <c:pt idx="14">
                        <c:v>-19.160957336425781</c:v>
                      </c:pt>
                      <c:pt idx="15">
                        <c:v>-19.202873229980469</c:v>
                      </c:pt>
                      <c:pt idx="16">
                        <c:v>-19.247255325317383</c:v>
                      </c:pt>
                      <c:pt idx="17">
                        <c:v>-19.296157836914063</c:v>
                      </c:pt>
                      <c:pt idx="18">
                        <c:v>-19.151500701904297</c:v>
                      </c:pt>
                      <c:pt idx="19">
                        <c:v>-19.056188583374023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-19.857484817504883</c:v>
                      </c:pt>
                      <c:pt idx="39">
                        <c:v>-19.899171829223633</c:v>
                      </c:pt>
                      <c:pt idx="40">
                        <c:v>-19.940607070922852</c:v>
                      </c:pt>
                      <c:pt idx="41">
                        <c:v>-19.983030319213867</c:v>
                      </c:pt>
                      <c:pt idx="42">
                        <c:v>-20.021211624145508</c:v>
                      </c:pt>
                      <c:pt idx="43">
                        <c:v>-20.056791305541992</c:v>
                      </c:pt>
                      <c:pt idx="44">
                        <c:v>-20.093357086181641</c:v>
                      </c:pt>
                      <c:pt idx="45">
                        <c:v>-20.129924774169922</c:v>
                      </c:pt>
                      <c:pt idx="46">
                        <c:v>-20.166492462158203</c:v>
                      </c:pt>
                      <c:pt idx="47">
                        <c:v>-20.203060150146484</c:v>
                      </c:pt>
                      <c:pt idx="48">
                        <c:v>-20.239627838134766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-20.485490798950195</c:v>
                      </c:pt>
                      <c:pt idx="56">
                        <c:v>-20.520101547241211</c:v>
                      </c:pt>
                      <c:pt idx="57">
                        <c:v>-20.555454254150391</c:v>
                      </c:pt>
                      <c:pt idx="58">
                        <c:v>-20.583921432495117</c:v>
                      </c:pt>
                      <c:pt idx="59">
                        <c:v>-20.614646911621094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FFB-4B1B-B814-E8BD25B1B37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Answ2!$A$8:$B$8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Answ2!$C$8:$BK$8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-20.452716827392578</c:v>
                      </c:pt>
                      <c:pt idx="1">
                        <c:v>-25.225017547607422</c:v>
                      </c:pt>
                      <c:pt idx="2">
                        <c:v>-29.997318267822266</c:v>
                      </c:pt>
                      <c:pt idx="3">
                        <c:v>-34.769618988037109</c:v>
                      </c:pt>
                      <c:pt idx="4">
                        <c:v>-39.541915893554688</c:v>
                      </c:pt>
                      <c:pt idx="5">
                        <c:v>-44.314220428466797</c:v>
                      </c:pt>
                      <c:pt idx="6">
                        <c:v>-49.086517333984375</c:v>
                      </c:pt>
                      <c:pt idx="7">
                        <c:v>-53.858821868896484</c:v>
                      </c:pt>
                      <c:pt idx="8">
                        <c:v>-58.631118774414063</c:v>
                      </c:pt>
                      <c:pt idx="9">
                        <c:v>-59.005619049072266</c:v>
                      </c:pt>
                      <c:pt idx="10">
                        <c:v>-55.034858703613281</c:v>
                      </c:pt>
                      <c:pt idx="11">
                        <c:v>-50.514900207519531</c:v>
                      </c:pt>
                      <c:pt idx="12">
                        <c:v>-46.089878082275391</c:v>
                      </c:pt>
                      <c:pt idx="13">
                        <c:v>-41.849239349365234</c:v>
                      </c:pt>
                      <c:pt idx="14">
                        <c:v>-38.09075927734375</c:v>
                      </c:pt>
                      <c:pt idx="15">
                        <c:v>-34.715808868408203</c:v>
                      </c:pt>
                      <c:pt idx="16">
                        <c:v>-31.584388732910156</c:v>
                      </c:pt>
                      <c:pt idx="17">
                        <c:v>-28.706148147583008</c:v>
                      </c:pt>
                      <c:pt idx="18">
                        <c:v>-26.497867584228516</c:v>
                      </c:pt>
                      <c:pt idx="19">
                        <c:v>-25.865806579589844</c:v>
                      </c:pt>
                      <c:pt idx="20">
                        <c:v>-26.785438537597656</c:v>
                      </c:pt>
                      <c:pt idx="21">
                        <c:v>-27.667425155639648</c:v>
                      </c:pt>
                      <c:pt idx="22">
                        <c:v>-28.549409866333008</c:v>
                      </c:pt>
                      <c:pt idx="23">
                        <c:v>-29.431398391723633</c:v>
                      </c:pt>
                      <c:pt idx="24">
                        <c:v>-30.313383102416992</c:v>
                      </c:pt>
                      <c:pt idx="25">
                        <c:v>-31.195369720458984</c:v>
                      </c:pt>
                      <c:pt idx="26">
                        <c:v>-32.045169830322266</c:v>
                      </c:pt>
                      <c:pt idx="27">
                        <c:v>-32.831687927246094</c:v>
                      </c:pt>
                      <c:pt idx="28">
                        <c:v>-33.618202209472656</c:v>
                      </c:pt>
                      <c:pt idx="29">
                        <c:v>-34.404720306396484</c:v>
                      </c:pt>
                      <c:pt idx="30">
                        <c:v>-35.191234588623047</c:v>
                      </c:pt>
                      <c:pt idx="31">
                        <c:v>-35.977752685546875</c:v>
                      </c:pt>
                      <c:pt idx="32">
                        <c:v>-36.685710906982422</c:v>
                      </c:pt>
                      <c:pt idx="33">
                        <c:v>-37.344635009765625</c:v>
                      </c:pt>
                      <c:pt idx="34">
                        <c:v>-38.003562927246094</c:v>
                      </c:pt>
                      <c:pt idx="35">
                        <c:v>-38.662490844726563</c:v>
                      </c:pt>
                      <c:pt idx="36">
                        <c:v>-39.321414947509766</c:v>
                      </c:pt>
                      <c:pt idx="37">
                        <c:v>-39.980342864990234</c:v>
                      </c:pt>
                      <c:pt idx="38">
                        <c:v>-40.556049346923828</c:v>
                      </c:pt>
                      <c:pt idx="39">
                        <c:v>-41.099643707275391</c:v>
                      </c:pt>
                      <c:pt idx="40">
                        <c:v>-41.617073059082031</c:v>
                      </c:pt>
                      <c:pt idx="41">
                        <c:v>-42.112022399902344</c:v>
                      </c:pt>
                      <c:pt idx="42">
                        <c:v>-42.577274322509766</c:v>
                      </c:pt>
                      <c:pt idx="43">
                        <c:v>-43.002090454101563</c:v>
                      </c:pt>
                      <c:pt idx="44">
                        <c:v>-43.336418151855469</c:v>
                      </c:pt>
                      <c:pt idx="45">
                        <c:v>-43.670745849609375</c:v>
                      </c:pt>
                      <c:pt idx="46">
                        <c:v>-44.005073547363281</c:v>
                      </c:pt>
                      <c:pt idx="47">
                        <c:v>-44.339401245117188</c:v>
                      </c:pt>
                      <c:pt idx="48">
                        <c:v>-44.673732757568359</c:v>
                      </c:pt>
                      <c:pt idx="49">
                        <c:v>-44.92681884765625</c:v>
                      </c:pt>
                      <c:pt idx="50">
                        <c:v>-45.077693939208984</c:v>
                      </c:pt>
                      <c:pt idx="51">
                        <c:v>-45.228572845458984</c:v>
                      </c:pt>
                      <c:pt idx="52">
                        <c:v>-45.379451751708984</c:v>
                      </c:pt>
                      <c:pt idx="53">
                        <c:v>-45.530326843261719</c:v>
                      </c:pt>
                      <c:pt idx="54">
                        <c:v>-45.681205749511719</c:v>
                      </c:pt>
                      <c:pt idx="55">
                        <c:v>-45.740390777587891</c:v>
                      </c:pt>
                      <c:pt idx="56">
                        <c:v>-45.755958557128906</c:v>
                      </c:pt>
                      <c:pt idx="57">
                        <c:v>-45.7418212890625</c:v>
                      </c:pt>
                      <c:pt idx="58">
                        <c:v>-45.680194854736328</c:v>
                      </c:pt>
                      <c:pt idx="59">
                        <c:v>-45.590202331542969</c:v>
                      </c:pt>
                      <c:pt idx="6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FFB-4B1B-B814-E8BD25B1B37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Answ2!$A$10:$B$10</c15:sqref>
                        </c15:formulaRef>
                      </c:ext>
                    </c:extLst>
                    <c:strCache>
                      <c:ptCount val="2"/>
                      <c:pt idx="0">
                        <c:v>Solid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Answ2!$C$10:$BK$10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-7.3407106399536133</c:v>
                      </c:pt>
                      <c:pt idx="1">
                        <c:v>-9.0535430908203125</c:v>
                      </c:pt>
                      <c:pt idx="2">
                        <c:v>-10.766375541687012</c:v>
                      </c:pt>
                      <c:pt idx="3">
                        <c:v>-12.479207992553711</c:v>
                      </c:pt>
                      <c:pt idx="4">
                        <c:v>-14.192039489746094</c:v>
                      </c:pt>
                      <c:pt idx="5">
                        <c:v>-15.904872894287109</c:v>
                      </c:pt>
                      <c:pt idx="6">
                        <c:v>-17.617704391479492</c:v>
                      </c:pt>
                      <c:pt idx="7">
                        <c:v>-19.330537796020508</c:v>
                      </c:pt>
                      <c:pt idx="8">
                        <c:v>-21.043369293212891</c:v>
                      </c:pt>
                      <c:pt idx="9">
                        <c:v>-21.259248733520508</c:v>
                      </c:pt>
                      <c:pt idx="10">
                        <c:v>-20.102315902709961</c:v>
                      </c:pt>
                      <c:pt idx="11">
                        <c:v>-20.004510879516602</c:v>
                      </c:pt>
                      <c:pt idx="12">
                        <c:v>-20.196046829223633</c:v>
                      </c:pt>
                      <c:pt idx="13">
                        <c:v>-20.546855926513672</c:v>
                      </c:pt>
                      <c:pt idx="14">
                        <c:v>-20.903142929077148</c:v>
                      </c:pt>
                      <c:pt idx="15">
                        <c:v>-21.259429931640625</c:v>
                      </c:pt>
                      <c:pt idx="16">
                        <c:v>-21.618183135986328</c:v>
                      </c:pt>
                      <c:pt idx="17">
                        <c:v>-21.981456756591797</c:v>
                      </c:pt>
                      <c:pt idx="18">
                        <c:v>-22.332822799682617</c:v>
                      </c:pt>
                      <c:pt idx="19">
                        <c:v>-22.686107635498047</c:v>
                      </c:pt>
                      <c:pt idx="20">
                        <c:v>-23.041297912597656</c:v>
                      </c:pt>
                      <c:pt idx="21">
                        <c:v>-23.380119323730469</c:v>
                      </c:pt>
                      <c:pt idx="22">
                        <c:v>-23.718942642211914</c:v>
                      </c:pt>
                      <c:pt idx="23">
                        <c:v>-24.057764053344727</c:v>
                      </c:pt>
                      <c:pt idx="24">
                        <c:v>-24.396585464477539</c:v>
                      </c:pt>
                      <c:pt idx="25">
                        <c:v>-24.735408782958984</c:v>
                      </c:pt>
                      <c:pt idx="26">
                        <c:v>-25.066656112670898</c:v>
                      </c:pt>
                      <c:pt idx="27">
                        <c:v>-25.383010864257813</c:v>
                      </c:pt>
                      <c:pt idx="28">
                        <c:v>-25.699365615844727</c:v>
                      </c:pt>
                      <c:pt idx="29">
                        <c:v>-26.015720367431641</c:v>
                      </c:pt>
                      <c:pt idx="30">
                        <c:v>-26.332075119018555</c:v>
                      </c:pt>
                      <c:pt idx="31">
                        <c:v>-26.648429870605469</c:v>
                      </c:pt>
                      <c:pt idx="32">
                        <c:v>-26.955099105834961</c:v>
                      </c:pt>
                      <c:pt idx="33">
                        <c:v>-27.25572395324707</c:v>
                      </c:pt>
                      <c:pt idx="34">
                        <c:v>-27.556346893310547</c:v>
                      </c:pt>
                      <c:pt idx="35">
                        <c:v>-27.856971740722656</c:v>
                      </c:pt>
                      <c:pt idx="36">
                        <c:v>-28.157594680786133</c:v>
                      </c:pt>
                      <c:pt idx="37">
                        <c:v>-28.458219528198242</c:v>
                      </c:pt>
                      <c:pt idx="38">
                        <c:v>-28.746147155761719</c:v>
                      </c:pt>
                      <c:pt idx="39">
                        <c:v>-29.031005859375</c:v>
                      </c:pt>
                      <c:pt idx="40">
                        <c:v>-29.314142227172852</c:v>
                      </c:pt>
                      <c:pt idx="41">
                        <c:v>-29.604040145874023</c:v>
                      </c:pt>
                      <c:pt idx="42">
                        <c:v>-29.88969612121582</c:v>
                      </c:pt>
                      <c:pt idx="43">
                        <c:v>-30.170772552490234</c:v>
                      </c:pt>
                      <c:pt idx="44">
                        <c:v>-30.444154739379883</c:v>
                      </c:pt>
                      <c:pt idx="45">
                        <c:v>-30.717538833618164</c:v>
                      </c:pt>
                      <c:pt idx="46">
                        <c:v>-30.990921020507813</c:v>
                      </c:pt>
                      <c:pt idx="47">
                        <c:v>-31.264303207397461</c:v>
                      </c:pt>
                      <c:pt idx="48">
                        <c:v>-31.537687301635742</c:v>
                      </c:pt>
                      <c:pt idx="49">
                        <c:v>-31.808874130249023</c:v>
                      </c:pt>
                      <c:pt idx="50">
                        <c:v>-32.077293395996094</c:v>
                      </c:pt>
                      <c:pt idx="51">
                        <c:v>-32.345714569091797</c:v>
                      </c:pt>
                      <c:pt idx="52">
                        <c:v>-32.6141357421875</c:v>
                      </c:pt>
                      <c:pt idx="53">
                        <c:v>-32.882556915283203</c:v>
                      </c:pt>
                      <c:pt idx="54">
                        <c:v>-33.150978088378906</c:v>
                      </c:pt>
                      <c:pt idx="55">
                        <c:v>-33.40863037109375</c:v>
                      </c:pt>
                      <c:pt idx="56">
                        <c:v>-33.666767120361328</c:v>
                      </c:pt>
                      <c:pt idx="57">
                        <c:v>-33.935455322265625</c:v>
                      </c:pt>
                      <c:pt idx="58">
                        <c:v>-34.191276550292969</c:v>
                      </c:pt>
                      <c:pt idx="59">
                        <c:v>-34.448383331298828</c:v>
                      </c:pt>
                      <c:pt idx="6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FFB-4B1B-B814-E8BD25B1B37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Answ2!$A$11:$B$11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H(Ar)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Answ2!$C$11:$BK$11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-6.3313207626342773</c:v>
                      </c:pt>
                      <c:pt idx="1">
                        <c:v>-7.808629035949707</c:v>
                      </c:pt>
                      <c:pt idx="2">
                        <c:v>-9.2859373092651367</c:v>
                      </c:pt>
                      <c:pt idx="3">
                        <c:v>-10.763245582580566</c:v>
                      </c:pt>
                      <c:pt idx="4">
                        <c:v>-12.24055290222168</c:v>
                      </c:pt>
                      <c:pt idx="5">
                        <c:v>-13.717862129211426</c:v>
                      </c:pt>
                      <c:pt idx="6">
                        <c:v>-15.195169448852539</c:v>
                      </c:pt>
                      <c:pt idx="7">
                        <c:v>-16.672477722167969</c:v>
                      </c:pt>
                      <c:pt idx="8">
                        <c:v>-18.149785995483398</c:v>
                      </c:pt>
                      <c:pt idx="9">
                        <c:v>-18.876455307006836</c:v>
                      </c:pt>
                      <c:pt idx="10">
                        <c:v>-18.871646881103516</c:v>
                      </c:pt>
                      <c:pt idx="11">
                        <c:v>-18.892604827880859</c:v>
                      </c:pt>
                      <c:pt idx="12">
                        <c:v>-18.918083190917969</c:v>
                      </c:pt>
                      <c:pt idx="13">
                        <c:v>-18.947534561157227</c:v>
                      </c:pt>
                      <c:pt idx="14">
                        <c:v>-18.982465744018555</c:v>
                      </c:pt>
                      <c:pt idx="15">
                        <c:v>-19.01739501953125</c:v>
                      </c:pt>
                      <c:pt idx="16">
                        <c:v>-19.047395706176758</c:v>
                      </c:pt>
                      <c:pt idx="17">
                        <c:v>-19.068353652954102</c:v>
                      </c:pt>
                      <c:pt idx="18">
                        <c:v>-18.998977661132813</c:v>
                      </c:pt>
                      <c:pt idx="19">
                        <c:v>-18.984170913696289</c:v>
                      </c:pt>
                      <c:pt idx="20">
                        <c:v>-19.033075332641602</c:v>
                      </c:pt>
                      <c:pt idx="21">
                        <c:v>-19.081975936889648</c:v>
                      </c:pt>
                      <c:pt idx="22">
                        <c:v>-19.130878448486328</c:v>
                      </c:pt>
                      <c:pt idx="23">
                        <c:v>-19.179780960083008</c:v>
                      </c:pt>
                      <c:pt idx="24">
                        <c:v>-19.228681564331055</c:v>
                      </c:pt>
                      <c:pt idx="25">
                        <c:v>-19.277584075927734</c:v>
                      </c:pt>
                      <c:pt idx="26">
                        <c:v>-19.325321197509766</c:v>
                      </c:pt>
                      <c:pt idx="27">
                        <c:v>-19.370763778686523</c:v>
                      </c:pt>
                      <c:pt idx="28">
                        <c:v>-19.416206359863281</c:v>
                      </c:pt>
                      <c:pt idx="29">
                        <c:v>-19.461650848388672</c:v>
                      </c:pt>
                      <c:pt idx="30">
                        <c:v>-19.50709342956543</c:v>
                      </c:pt>
                      <c:pt idx="31">
                        <c:v>-19.552536010742188</c:v>
                      </c:pt>
                      <c:pt idx="32">
                        <c:v>-19.596902847290039</c:v>
                      </c:pt>
                      <c:pt idx="33">
                        <c:v>-19.640598297119141</c:v>
                      </c:pt>
                      <c:pt idx="34">
                        <c:v>-19.684293746948242</c:v>
                      </c:pt>
                      <c:pt idx="35">
                        <c:v>-19.727989196777344</c:v>
                      </c:pt>
                      <c:pt idx="36">
                        <c:v>-19.771684646606445</c:v>
                      </c:pt>
                      <c:pt idx="37">
                        <c:v>-19.815380096435547</c:v>
                      </c:pt>
                      <c:pt idx="38">
                        <c:v>-19.85603141784668</c:v>
                      </c:pt>
                      <c:pt idx="39">
                        <c:v>-19.896320343017578</c:v>
                      </c:pt>
                      <c:pt idx="40">
                        <c:v>-19.936611175537109</c:v>
                      </c:pt>
                      <c:pt idx="41">
                        <c:v>-19.976902008056641</c:v>
                      </c:pt>
                      <c:pt idx="42">
                        <c:v>-20.017190933227539</c:v>
                      </c:pt>
                      <c:pt idx="43">
                        <c:v>-20.057645797729492</c:v>
                      </c:pt>
                      <c:pt idx="44">
                        <c:v>-20.098823547363281</c:v>
                      </c:pt>
                      <c:pt idx="45">
                        <c:v>-20.135757446289063</c:v>
                      </c:pt>
                      <c:pt idx="46">
                        <c:v>-20.170783996582031</c:v>
                      </c:pt>
                      <c:pt idx="47">
                        <c:v>-20.205097198486328</c:v>
                      </c:pt>
                      <c:pt idx="48">
                        <c:v>-20.240303039550781</c:v>
                      </c:pt>
                      <c:pt idx="49">
                        <c:v>-20.275539398193359</c:v>
                      </c:pt>
                      <c:pt idx="50">
                        <c:v>-20.310626983642578</c:v>
                      </c:pt>
                      <c:pt idx="51">
                        <c:v>-20.345714569091797</c:v>
                      </c:pt>
                      <c:pt idx="52">
                        <c:v>-20.380802154541016</c:v>
                      </c:pt>
                      <c:pt idx="53">
                        <c:v>-20.415889739990234</c:v>
                      </c:pt>
                      <c:pt idx="54">
                        <c:v>-20.450977325439453</c:v>
                      </c:pt>
                      <c:pt idx="55">
                        <c:v>-20.484577178955078</c:v>
                      </c:pt>
                      <c:pt idx="56">
                        <c:v>-20.517660140991211</c:v>
                      </c:pt>
                      <c:pt idx="57">
                        <c:v>-20.550745010375977</c:v>
                      </c:pt>
                      <c:pt idx="58">
                        <c:v>-20.583829879760742</c:v>
                      </c:pt>
                      <c:pt idx="59">
                        <c:v>-20.616914749145508</c:v>
                      </c:pt>
                      <c:pt idx="60">
                        <c:v>-20.649999618530273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FFB-4B1B-B814-E8BD25B1B37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Answ2!$A$12:$B$12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H(Ga)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Answ2!$C$12:$BK$12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-20.385646820068359</c:v>
                      </c:pt>
                      <c:pt idx="1">
                        <c:v>-25.142297744750977</c:v>
                      </c:pt>
                      <c:pt idx="2">
                        <c:v>-29.898948669433594</c:v>
                      </c:pt>
                      <c:pt idx="3">
                        <c:v>-34.655597686767578</c:v>
                      </c:pt>
                      <c:pt idx="4">
                        <c:v>-39.412250518798828</c:v>
                      </c:pt>
                      <c:pt idx="5">
                        <c:v>-44.168903350830078</c:v>
                      </c:pt>
                      <c:pt idx="6">
                        <c:v>-48.925552368164063</c:v>
                      </c:pt>
                      <c:pt idx="7">
                        <c:v>-53.682205200195313</c:v>
                      </c:pt>
                      <c:pt idx="8">
                        <c:v>-58.438850402832031</c:v>
                      </c:pt>
                      <c:pt idx="9">
                        <c:v>-58.320152282714844</c:v>
                      </c:pt>
                      <c:pt idx="10">
                        <c:v>-53.446193695068359</c:v>
                      </c:pt>
                      <c:pt idx="11">
                        <c:v>-48.688713073730469</c:v>
                      </c:pt>
                      <c:pt idx="12">
                        <c:v>-44.247692108154297</c:v>
                      </c:pt>
                      <c:pt idx="13">
                        <c:v>-40.117874145507813</c:v>
                      </c:pt>
                      <c:pt idx="14">
                        <c:v>-36.49212646484375</c:v>
                      </c:pt>
                      <c:pt idx="15">
                        <c:v>-33.343055725097656</c:v>
                      </c:pt>
                      <c:pt idx="16">
                        <c:v>-30.470527648925781</c:v>
                      </c:pt>
                      <c:pt idx="17">
                        <c:v>-27.864742279052734</c:v>
                      </c:pt>
                      <c:pt idx="18">
                        <c:v>-27.098289489746094</c:v>
                      </c:pt>
                      <c:pt idx="19">
                        <c:v>-27.245807647705078</c:v>
                      </c:pt>
                      <c:pt idx="20">
                        <c:v>-28.167087554931641</c:v>
                      </c:pt>
                      <c:pt idx="21">
                        <c:v>-29.07526969909668</c:v>
                      </c:pt>
                      <c:pt idx="22">
                        <c:v>-29.974630355834961</c:v>
                      </c:pt>
                      <c:pt idx="23">
                        <c:v>-30.864652633666992</c:v>
                      </c:pt>
                      <c:pt idx="24">
                        <c:v>-31.737903594970703</c:v>
                      </c:pt>
                      <c:pt idx="25">
                        <c:v>-32.595050811767578</c:v>
                      </c:pt>
                      <c:pt idx="26">
                        <c:v>-33.425758361816406</c:v>
                      </c:pt>
                      <c:pt idx="27">
                        <c:v>-34.214023590087891</c:v>
                      </c:pt>
                      <c:pt idx="28">
                        <c:v>-35.002285003662109</c:v>
                      </c:pt>
                      <c:pt idx="29">
                        <c:v>-35.790550231933594</c:v>
                      </c:pt>
                      <c:pt idx="30">
                        <c:v>-36.578815460205078</c:v>
                      </c:pt>
                      <c:pt idx="31">
                        <c:v>-37.367080688476563</c:v>
                      </c:pt>
                      <c:pt idx="32">
                        <c:v>-38.074634552001953</c:v>
                      </c:pt>
                      <c:pt idx="33">
                        <c:v>-38.7318115234375</c:v>
                      </c:pt>
                      <c:pt idx="34">
                        <c:v>-39.388988494873047</c:v>
                      </c:pt>
                      <c:pt idx="35">
                        <c:v>-40.046169281005859</c:v>
                      </c:pt>
                      <c:pt idx="36">
                        <c:v>-40.703350067138672</c:v>
                      </c:pt>
                      <c:pt idx="37">
                        <c:v>-41.360527038574219</c:v>
                      </c:pt>
                      <c:pt idx="38">
                        <c:v>-41.884304046630859</c:v>
                      </c:pt>
                      <c:pt idx="39">
                        <c:v>-42.392314910888672</c:v>
                      </c:pt>
                      <c:pt idx="40">
                        <c:v>-42.900321960449219</c:v>
                      </c:pt>
                      <c:pt idx="41">
                        <c:v>-43.408329010009766</c:v>
                      </c:pt>
                      <c:pt idx="42">
                        <c:v>-43.916339874267578</c:v>
                      </c:pt>
                      <c:pt idx="43">
                        <c:v>-44.40264892578125</c:v>
                      </c:pt>
                      <c:pt idx="44">
                        <c:v>-44.7938232421875</c:v>
                      </c:pt>
                      <c:pt idx="45">
                        <c:v>-45.167877197265625</c:v>
                      </c:pt>
                      <c:pt idx="46">
                        <c:v>-45.514900207519531</c:v>
                      </c:pt>
                      <c:pt idx="47">
                        <c:v>-45.816864013671875</c:v>
                      </c:pt>
                      <c:pt idx="48">
                        <c:v>-46.096363067626953</c:v>
                      </c:pt>
                      <c:pt idx="49">
                        <c:v>-46.316818237304688</c:v>
                      </c:pt>
                      <c:pt idx="50">
                        <c:v>-46.467693328857422</c:v>
                      </c:pt>
                      <c:pt idx="51">
                        <c:v>-46.618572235107422</c:v>
                      </c:pt>
                      <c:pt idx="52">
                        <c:v>-46.769451141357422</c:v>
                      </c:pt>
                      <c:pt idx="53">
                        <c:v>-46.920326232910156</c:v>
                      </c:pt>
                      <c:pt idx="54">
                        <c:v>-47.071205139160156</c:v>
                      </c:pt>
                      <c:pt idx="55">
                        <c:v>-47.076370239257813</c:v>
                      </c:pt>
                      <c:pt idx="56">
                        <c:v>-47.031093597412109</c:v>
                      </c:pt>
                      <c:pt idx="57">
                        <c:v>-46.985820770263672</c:v>
                      </c:pt>
                      <c:pt idx="58">
                        <c:v>-46.940547943115234</c:v>
                      </c:pt>
                      <c:pt idx="59">
                        <c:v>-46.895271301269531</c:v>
                      </c:pt>
                      <c:pt idx="6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FFB-4B1B-B814-E8BD25B1B37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Answ2!$A$13:$B$13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H(Ge)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40000"/>
                        <a:lumOff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Answ2!$C$13:$BK$13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-5.3655261993408203</c:v>
                      </c:pt>
                      <c:pt idx="1">
                        <c:v>-6.6174826622009277</c:v>
                      </c:pt>
                      <c:pt idx="2">
                        <c:v>-7.869438648223877</c:v>
                      </c:pt>
                      <c:pt idx="3">
                        <c:v>-9.1213951110839844</c:v>
                      </c:pt>
                      <c:pt idx="4">
                        <c:v>-10.373350143432617</c:v>
                      </c:pt>
                      <c:pt idx="5">
                        <c:v>-11.625307083129883</c:v>
                      </c:pt>
                      <c:pt idx="6">
                        <c:v>-12.877263069152832</c:v>
                      </c:pt>
                      <c:pt idx="7">
                        <c:v>-14.129220008850098</c:v>
                      </c:pt>
                      <c:pt idx="8">
                        <c:v>-15.38117504119873</c:v>
                      </c:pt>
                      <c:pt idx="9">
                        <c:v>-15.262943267822266</c:v>
                      </c:pt>
                      <c:pt idx="10">
                        <c:v>-13.789361000061035</c:v>
                      </c:pt>
                      <c:pt idx="11">
                        <c:v>-12.126687049865723</c:v>
                      </c:pt>
                      <c:pt idx="12">
                        <c:v>-10.548101425170898</c:v>
                      </c:pt>
                      <c:pt idx="13">
                        <c:v>-9.0846872329711914</c:v>
                      </c:pt>
                      <c:pt idx="14">
                        <c:v>-7.8733124732971191</c:v>
                      </c:pt>
                      <c:pt idx="15">
                        <c:v>-7.0317697525024414</c:v>
                      </c:pt>
                      <c:pt idx="16">
                        <c:v>-6.4600667953491211</c:v>
                      </c:pt>
                      <c:pt idx="17">
                        <c:v>-6.1966938972473145</c:v>
                      </c:pt>
                      <c:pt idx="18">
                        <c:v>-6.6001896858215332</c:v>
                      </c:pt>
                      <c:pt idx="19">
                        <c:v>-6.8364529609680176</c:v>
                      </c:pt>
                      <c:pt idx="20">
                        <c:v>-6.8456788063049316</c:v>
                      </c:pt>
                      <c:pt idx="21">
                        <c:v>-6.8882932662963867</c:v>
                      </c:pt>
                      <c:pt idx="22">
                        <c:v>-6.9379658699035645</c:v>
                      </c:pt>
                      <c:pt idx="23">
                        <c:v>-6.9923171997070313</c:v>
                      </c:pt>
                      <c:pt idx="24">
                        <c:v>-7.0489039421081543</c:v>
                      </c:pt>
                      <c:pt idx="25">
                        <c:v>-7.1054911613464355</c:v>
                      </c:pt>
                      <c:pt idx="26">
                        <c:v>-7.1618566513061523</c:v>
                      </c:pt>
                      <c:pt idx="27">
                        <c:v>-7.2177867889404297</c:v>
                      </c:pt>
                      <c:pt idx="28">
                        <c:v>-7.2737164497375488</c:v>
                      </c:pt>
                      <c:pt idx="29">
                        <c:v>-7.3296465873718262</c:v>
                      </c:pt>
                      <c:pt idx="30">
                        <c:v>-7.3855767250061035</c:v>
                      </c:pt>
                      <c:pt idx="31">
                        <c:v>-7.4415068626403809</c:v>
                      </c:pt>
                      <c:pt idx="32">
                        <c:v>-7.4954996109008789</c:v>
                      </c:pt>
                      <c:pt idx="33">
                        <c:v>-7.548283576965332</c:v>
                      </c:pt>
                      <c:pt idx="34">
                        <c:v>-7.6010675430297852</c:v>
                      </c:pt>
                      <c:pt idx="35">
                        <c:v>-7.6538519859313965</c:v>
                      </c:pt>
                      <c:pt idx="36">
                        <c:v>-7.7066359519958496</c:v>
                      </c:pt>
                      <c:pt idx="37">
                        <c:v>-7.7594199180603027</c:v>
                      </c:pt>
                      <c:pt idx="38">
                        <c:v>-7.8093338012695313</c:v>
                      </c:pt>
                      <c:pt idx="39">
                        <c:v>-7.8589086532592773</c:v>
                      </c:pt>
                      <c:pt idx="40">
                        <c:v>-7.9084830284118652</c:v>
                      </c:pt>
                      <c:pt idx="41">
                        <c:v>-7.9580578804016113</c:v>
                      </c:pt>
                      <c:pt idx="42">
                        <c:v>-8.0076322555541992</c:v>
                      </c:pt>
                      <c:pt idx="43">
                        <c:v>-8.0566673278808594</c:v>
                      </c:pt>
                      <c:pt idx="44">
                        <c:v>-8.1033334732055664</c:v>
                      </c:pt>
                      <c:pt idx="45">
                        <c:v>-8.1500005722045898</c:v>
                      </c:pt>
                      <c:pt idx="46">
                        <c:v>-8.1962356567382813</c:v>
                      </c:pt>
                      <c:pt idx="47">
                        <c:v>-8.2415294647216797</c:v>
                      </c:pt>
                      <c:pt idx="48">
                        <c:v>-8.2873935699462891</c:v>
                      </c:pt>
                      <c:pt idx="49">
                        <c:v>-8.3322677612304688</c:v>
                      </c:pt>
                      <c:pt idx="50">
                        <c:v>-8.3757762908935547</c:v>
                      </c:pt>
                      <c:pt idx="51">
                        <c:v>-8.419285774230957</c:v>
                      </c:pt>
                      <c:pt idx="52">
                        <c:v>-8.462794303894043</c:v>
                      </c:pt>
                      <c:pt idx="53">
                        <c:v>-8.5063028335571289</c:v>
                      </c:pt>
                      <c:pt idx="54">
                        <c:v>-8.5498123168945313</c:v>
                      </c:pt>
                      <c:pt idx="55">
                        <c:v>-8.5912685394287109</c:v>
                      </c:pt>
                      <c:pt idx="56">
                        <c:v>-8.6320152282714844</c:v>
                      </c:pt>
                      <c:pt idx="57">
                        <c:v>-8.6727609634399414</c:v>
                      </c:pt>
                      <c:pt idx="58">
                        <c:v>-8.7135076522827148</c:v>
                      </c:pt>
                      <c:pt idx="59">
                        <c:v>-8.7542533874511719</c:v>
                      </c:pt>
                      <c:pt idx="6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FFB-4B1B-B814-E8BD25B1B37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Answ2!$A$14:$B$14</c15:sqref>
                        </c15:formulaRef>
                      </c:ext>
                    </c:extLst>
                    <c:strCache>
                      <c:ptCount val="2"/>
                      <c:pt idx="0">
                        <c:v>All</c:v>
                      </c:pt>
                      <c:pt idx="1">
                        <c:v>H(Se)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Answ2!$C$2:$BK$2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100</c:v>
                      </c:pt>
                      <c:pt idx="1">
                        <c:v>123.33333587646484</c:v>
                      </c:pt>
                      <c:pt idx="2">
                        <c:v>146.66667175292969</c:v>
                      </c:pt>
                      <c:pt idx="3">
                        <c:v>170</c:v>
                      </c:pt>
                      <c:pt idx="4">
                        <c:v>193.33332824707031</c:v>
                      </c:pt>
                      <c:pt idx="5">
                        <c:v>216.66667175292969</c:v>
                      </c:pt>
                      <c:pt idx="6">
                        <c:v>240</c:v>
                      </c:pt>
                      <c:pt idx="7">
                        <c:v>263.33334350585938</c:v>
                      </c:pt>
                      <c:pt idx="8">
                        <c:v>286.66665649414063</c:v>
                      </c:pt>
                      <c:pt idx="9">
                        <c:v>310</c:v>
                      </c:pt>
                      <c:pt idx="10">
                        <c:v>333.33334350585938</c:v>
                      </c:pt>
                      <c:pt idx="11">
                        <c:v>356.66665649414063</c:v>
                      </c:pt>
                      <c:pt idx="12">
                        <c:v>380</c:v>
                      </c:pt>
                      <c:pt idx="13">
                        <c:v>403.33334350585938</c:v>
                      </c:pt>
                      <c:pt idx="14">
                        <c:v>426.66665649414063</c:v>
                      </c:pt>
                      <c:pt idx="15">
                        <c:v>450</c:v>
                      </c:pt>
                      <c:pt idx="16">
                        <c:v>473.33334350585938</c:v>
                      </c:pt>
                      <c:pt idx="17">
                        <c:v>496.66665649414063</c:v>
                      </c:pt>
                      <c:pt idx="18">
                        <c:v>520</c:v>
                      </c:pt>
                      <c:pt idx="19">
                        <c:v>543.33331298828125</c:v>
                      </c:pt>
                      <c:pt idx="20">
                        <c:v>566.66668701171875</c:v>
                      </c:pt>
                      <c:pt idx="21">
                        <c:v>590</c:v>
                      </c:pt>
                      <c:pt idx="22">
                        <c:v>613.33331298828125</c:v>
                      </c:pt>
                      <c:pt idx="23">
                        <c:v>636.66668701171875</c:v>
                      </c:pt>
                      <c:pt idx="24">
                        <c:v>660</c:v>
                      </c:pt>
                      <c:pt idx="25">
                        <c:v>683.33331298828125</c:v>
                      </c:pt>
                      <c:pt idx="26">
                        <c:v>706.66668701171875</c:v>
                      </c:pt>
                      <c:pt idx="27">
                        <c:v>730</c:v>
                      </c:pt>
                      <c:pt idx="28">
                        <c:v>753.33331298828125</c:v>
                      </c:pt>
                      <c:pt idx="29">
                        <c:v>776.66668701171875</c:v>
                      </c:pt>
                      <c:pt idx="30">
                        <c:v>800</c:v>
                      </c:pt>
                      <c:pt idx="31">
                        <c:v>823.33331298828125</c:v>
                      </c:pt>
                      <c:pt idx="32">
                        <c:v>846.66668701171875</c:v>
                      </c:pt>
                      <c:pt idx="33">
                        <c:v>870</c:v>
                      </c:pt>
                      <c:pt idx="34">
                        <c:v>893.33331298828125</c:v>
                      </c:pt>
                      <c:pt idx="35">
                        <c:v>916.66668701171875</c:v>
                      </c:pt>
                      <c:pt idx="36">
                        <c:v>940</c:v>
                      </c:pt>
                      <c:pt idx="37">
                        <c:v>963.33331298828125</c:v>
                      </c:pt>
                      <c:pt idx="38">
                        <c:v>986.66668701171875</c:v>
                      </c:pt>
                      <c:pt idx="39">
                        <c:v>1010</c:v>
                      </c:pt>
                      <c:pt idx="40">
                        <c:v>1033.3333740234375</c:v>
                      </c:pt>
                      <c:pt idx="41">
                        <c:v>1056.6666259765625</c:v>
                      </c:pt>
                      <c:pt idx="42">
                        <c:v>1080</c:v>
                      </c:pt>
                      <c:pt idx="43">
                        <c:v>1103.3333740234375</c:v>
                      </c:pt>
                      <c:pt idx="44">
                        <c:v>1126.6666259765625</c:v>
                      </c:pt>
                      <c:pt idx="45">
                        <c:v>1150</c:v>
                      </c:pt>
                      <c:pt idx="46">
                        <c:v>1173.3333740234375</c:v>
                      </c:pt>
                      <c:pt idx="47">
                        <c:v>1196.6666259765625</c:v>
                      </c:pt>
                      <c:pt idx="48">
                        <c:v>1220</c:v>
                      </c:pt>
                      <c:pt idx="49">
                        <c:v>1243.3333740234375</c:v>
                      </c:pt>
                      <c:pt idx="50">
                        <c:v>1266.6666259765625</c:v>
                      </c:pt>
                      <c:pt idx="51">
                        <c:v>1290</c:v>
                      </c:pt>
                      <c:pt idx="52">
                        <c:v>1313.3333740234375</c:v>
                      </c:pt>
                      <c:pt idx="53">
                        <c:v>1336.6666259765625</c:v>
                      </c:pt>
                      <c:pt idx="54">
                        <c:v>1360</c:v>
                      </c:pt>
                      <c:pt idx="55">
                        <c:v>1383.3333740234375</c:v>
                      </c:pt>
                      <c:pt idx="56">
                        <c:v>1406.6666259765625</c:v>
                      </c:pt>
                      <c:pt idx="57">
                        <c:v>1430</c:v>
                      </c:pt>
                      <c:pt idx="58">
                        <c:v>1453.3333740234375</c:v>
                      </c:pt>
                      <c:pt idx="59">
                        <c:v>1476.6666259765625</c:v>
                      </c:pt>
                      <c:pt idx="6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Answ2!$C$14:$BK$14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-7.4245467185974121</c:v>
                      </c:pt>
                      <c:pt idx="1">
                        <c:v>-9.1569414138793945</c:v>
                      </c:pt>
                      <c:pt idx="2">
                        <c:v>-10.889335632324219</c:v>
                      </c:pt>
                      <c:pt idx="3">
                        <c:v>-12.621729850769043</c:v>
                      </c:pt>
                      <c:pt idx="4">
                        <c:v>-14.354123115539551</c:v>
                      </c:pt>
                      <c:pt idx="5">
                        <c:v>-16.086519241333008</c:v>
                      </c:pt>
                      <c:pt idx="6">
                        <c:v>-17.818912506103516</c:v>
                      </c:pt>
                      <c:pt idx="7">
                        <c:v>-19.551307678222656</c:v>
                      </c:pt>
                      <c:pt idx="8">
                        <c:v>-21.283700942993164</c:v>
                      </c:pt>
                      <c:pt idx="9">
                        <c:v>-21.842342376708984</c:v>
                      </c:pt>
                      <c:pt idx="10">
                        <c:v>-21.304939270019531</c:v>
                      </c:pt>
                      <c:pt idx="11">
                        <c:v>-21.367813110351563</c:v>
                      </c:pt>
                      <c:pt idx="12">
                        <c:v>-21.575359344482422</c:v>
                      </c:pt>
                      <c:pt idx="13">
                        <c:v>-21.858772277832031</c:v>
                      </c:pt>
                      <c:pt idx="14">
                        <c:v>-22.131227493286133</c:v>
                      </c:pt>
                      <c:pt idx="15">
                        <c:v>-22.348892211914063</c:v>
                      </c:pt>
                      <c:pt idx="16">
                        <c:v>-22.556417465209961</c:v>
                      </c:pt>
                      <c:pt idx="17">
                        <c:v>-22.772985458374023</c:v>
                      </c:pt>
                      <c:pt idx="18">
                        <c:v>-22.951412200927734</c:v>
                      </c:pt>
                      <c:pt idx="19">
                        <c:v>-23.209201812744141</c:v>
                      </c:pt>
                      <c:pt idx="20">
                        <c:v>-23.551956176757813</c:v>
                      </c:pt>
                      <c:pt idx="21">
                        <c:v>-23.90125846862793</c:v>
                      </c:pt>
                      <c:pt idx="22">
                        <c:v>-24.241737365722656</c:v>
                      </c:pt>
                      <c:pt idx="23">
                        <c:v>-24.577066421508789</c:v>
                      </c:pt>
                      <c:pt idx="24">
                        <c:v>-24.912395477294922</c:v>
                      </c:pt>
                      <c:pt idx="25">
                        <c:v>-25.247724533081055</c:v>
                      </c:pt>
                      <c:pt idx="26">
                        <c:v>-25.576656341552734</c:v>
                      </c:pt>
                      <c:pt idx="27">
                        <c:v>-25.893011093139648</c:v>
                      </c:pt>
                      <c:pt idx="28">
                        <c:v>-26.209365844726563</c:v>
                      </c:pt>
                      <c:pt idx="29">
                        <c:v>-26.525720596313477</c:v>
                      </c:pt>
                      <c:pt idx="30">
                        <c:v>-26.842075347900391</c:v>
                      </c:pt>
                      <c:pt idx="31">
                        <c:v>-27.158430099487305</c:v>
                      </c:pt>
                      <c:pt idx="32">
                        <c:v>-27.465099334716797</c:v>
                      </c:pt>
                      <c:pt idx="33">
                        <c:v>-27.765724182128906</c:v>
                      </c:pt>
                      <c:pt idx="34">
                        <c:v>-28.066347122192383</c:v>
                      </c:pt>
                      <c:pt idx="35">
                        <c:v>-28.366971969604492</c:v>
                      </c:pt>
                      <c:pt idx="36">
                        <c:v>-28.667594909667969</c:v>
                      </c:pt>
                      <c:pt idx="37">
                        <c:v>-28.968219757080078</c:v>
                      </c:pt>
                      <c:pt idx="38">
                        <c:v>-29.255350112915039</c:v>
                      </c:pt>
                      <c:pt idx="39">
                        <c:v>-29.540885925292969</c:v>
                      </c:pt>
                      <c:pt idx="40">
                        <c:v>-29.826421737670898</c:v>
                      </c:pt>
                      <c:pt idx="41">
                        <c:v>-30.111955642700195</c:v>
                      </c:pt>
                      <c:pt idx="42">
                        <c:v>-30.397491455078125</c:v>
                      </c:pt>
                      <c:pt idx="43">
                        <c:v>-30.680980682373047</c:v>
                      </c:pt>
                      <c:pt idx="44">
                        <c:v>-30.955490112304688</c:v>
                      </c:pt>
                      <c:pt idx="45">
                        <c:v>-31.23090934753418</c:v>
                      </c:pt>
                      <c:pt idx="46">
                        <c:v>-31.504117965698242</c:v>
                      </c:pt>
                      <c:pt idx="47">
                        <c:v>-31.771762847900391</c:v>
                      </c:pt>
                      <c:pt idx="48">
                        <c:v>-32.046363830566406</c:v>
                      </c:pt>
                      <c:pt idx="49">
                        <c:v>-32.318874359130859</c:v>
                      </c:pt>
                      <c:pt idx="50">
                        <c:v>-32.587291717529297</c:v>
                      </c:pt>
                      <c:pt idx="51">
                        <c:v>-32.855712890625</c:v>
                      </c:pt>
                      <c:pt idx="52">
                        <c:v>-33.124134063720703</c:v>
                      </c:pt>
                      <c:pt idx="53">
                        <c:v>-33.392555236816406</c:v>
                      </c:pt>
                      <c:pt idx="54">
                        <c:v>-33.660976409912109</c:v>
                      </c:pt>
                      <c:pt idx="55">
                        <c:v>-33.922737121582031</c:v>
                      </c:pt>
                      <c:pt idx="56">
                        <c:v>-34.18218994140625</c:v>
                      </c:pt>
                      <c:pt idx="57">
                        <c:v>-34.441642761230469</c:v>
                      </c:pt>
                      <c:pt idx="58">
                        <c:v>-34.701095581054688</c:v>
                      </c:pt>
                      <c:pt idx="59">
                        <c:v>-34.960548400878906</c:v>
                      </c:pt>
                      <c:pt idx="6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FFB-4B1B-B814-E8BD25B1B379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36</xdr:row>
      <xdr:rowOff>22410</xdr:rowOff>
    </xdr:from>
    <xdr:to>
      <xdr:col>55</xdr:col>
      <xdr:colOff>784412</xdr:colOff>
      <xdr:row>45</xdr:row>
      <xdr:rowOff>17317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44823</xdr:colOff>
      <xdr:row>1</xdr:row>
      <xdr:rowOff>33617</xdr:rowOff>
    </xdr:from>
    <xdr:to>
      <xdr:col>59</xdr:col>
      <xdr:colOff>482413</xdr:colOff>
      <xdr:row>22</xdr:row>
      <xdr:rowOff>4482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44823</xdr:colOff>
      <xdr:row>114</xdr:row>
      <xdr:rowOff>44823</xdr:rowOff>
    </xdr:from>
    <xdr:to>
      <xdr:col>58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616324</xdr:colOff>
      <xdr:row>1</xdr:row>
      <xdr:rowOff>33618</xdr:rowOff>
    </xdr:from>
    <xdr:to>
      <xdr:col>69</xdr:col>
      <xdr:colOff>750794</xdr:colOff>
      <xdr:row>22</xdr:row>
      <xdr:rowOff>3465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885264</xdr:colOff>
      <xdr:row>0</xdr:row>
      <xdr:rowOff>1042147</xdr:rowOff>
    </xdr:from>
    <xdr:to>
      <xdr:col>80</xdr:col>
      <xdr:colOff>887302</xdr:colOff>
      <xdr:row>21</xdr:row>
      <xdr:rowOff>208633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788495</xdr:colOff>
      <xdr:row>16</xdr:row>
      <xdr:rowOff>12407</xdr:rowOff>
    </xdr:from>
    <xdr:to>
      <xdr:col>74</xdr:col>
      <xdr:colOff>594775</xdr:colOff>
      <xdr:row>17</xdr:row>
      <xdr:rowOff>98387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39820" y="5127332"/>
          <a:ext cx="720680" cy="35268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bg2">
                  <a:lumMod val="50000"/>
                </a:schemeClr>
              </a:solidFill>
            </a:rPr>
            <a:t>Ge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71</xdr:col>
      <xdr:colOff>244049</xdr:colOff>
      <xdr:row>13</xdr:row>
      <xdr:rowOff>261577</xdr:rowOff>
    </xdr:from>
    <xdr:to>
      <xdr:col>72</xdr:col>
      <xdr:colOff>338176</xdr:colOff>
      <xdr:row>15</xdr:row>
      <xdr:rowOff>75414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8066574" y="4576402"/>
          <a:ext cx="1008527" cy="347237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accent1">
                  <a:lumMod val="50000"/>
                </a:schemeClr>
              </a:solidFill>
            </a:rPr>
            <a:t>GeSe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72</xdr:col>
      <xdr:colOff>32816</xdr:colOff>
      <xdr:row>1</xdr:row>
      <xdr:rowOff>56030</xdr:rowOff>
    </xdr:from>
    <xdr:to>
      <xdr:col>73</xdr:col>
      <xdr:colOff>794830</xdr:colOff>
      <xdr:row>2</xdr:row>
      <xdr:rowOff>141953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8757495" y="1171816"/>
          <a:ext cx="1673692" cy="35806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81</xdr:col>
      <xdr:colOff>0</xdr:colOff>
      <xdr:row>1</xdr:row>
      <xdr:rowOff>0</xdr:rowOff>
    </xdr:from>
    <xdr:to>
      <xdr:col>92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0.13427</cdr:x>
      <cdr:y>0.60102</cdr:y>
    </cdr:from>
    <cdr:to>
      <cdr:x>0.24907</cdr:x>
      <cdr:y>0.6642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1238327" y="3376914"/>
          <a:ext cx="1058880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0.22352</cdr:x>
      <cdr:y>0.02902</cdr:y>
    </cdr:from>
    <cdr:to>
      <cdr:x>0.40569</cdr:x>
      <cdr:y>0.09219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946300" y="163053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0.17356</cdr:x>
      <cdr:y>0.033</cdr:y>
    </cdr:from>
    <cdr:to>
      <cdr:x>0.28083</cdr:x>
      <cdr:y>0.09617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464525" y="185407"/>
          <a:ext cx="905148" cy="3548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0.23748</cdr:x>
      <cdr:y>0.26636</cdr:y>
    </cdr:from>
    <cdr:to>
      <cdr:x>0.4372</cdr:x>
      <cdr:y>0.32954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191246" y="1496307"/>
          <a:ext cx="1842872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0.32402</cdr:x>
      <cdr:y>0.82516</cdr:y>
    </cdr:from>
    <cdr:to>
      <cdr:x>0.44877</cdr:x>
      <cdr:y>0.88793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3259788" y="4627182"/>
          <a:ext cx="1255062" cy="351990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0.56511</cdr:x>
      <cdr:y>0.48233</cdr:y>
    </cdr:from>
    <cdr:to>
      <cdr:x>0.66531</cdr:x>
      <cdr:y>0.54509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685218" y="2704719"/>
          <a:ext cx="1008056" cy="3519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7385</xdr:colOff>
      <xdr:row>35</xdr:row>
      <xdr:rowOff>0</xdr:rowOff>
    </xdr:from>
    <xdr:to>
      <xdr:col>56</xdr:col>
      <xdr:colOff>201706</xdr:colOff>
      <xdr:row>45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28574</xdr:colOff>
      <xdr:row>113</xdr:row>
      <xdr:rowOff>266700</xdr:rowOff>
    </xdr:from>
    <xdr:to>
      <xdr:col>60</xdr:col>
      <xdr:colOff>156882</xdr:colOff>
      <xdr:row>136</xdr:row>
      <xdr:rowOff>67237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454479</xdr:colOff>
      <xdr:row>0</xdr:row>
      <xdr:rowOff>1085850</xdr:rowOff>
    </xdr:from>
    <xdr:to>
      <xdr:col>59</xdr:col>
      <xdr:colOff>274617</xdr:colOff>
      <xdr:row>21</xdr:row>
      <xdr:rowOff>209550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69</xdr:col>
      <xdr:colOff>760268</xdr:colOff>
      <xdr:row>21</xdr:row>
      <xdr:rowOff>238125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842282</xdr:colOff>
      <xdr:row>0</xdr:row>
      <xdr:rowOff>1092654</xdr:rowOff>
    </xdr:from>
    <xdr:to>
      <xdr:col>79</xdr:col>
      <xdr:colOff>397330</xdr:colOff>
      <xdr:row>21</xdr:row>
      <xdr:rowOff>255938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0.23047</cdr:x>
      <cdr:y>0.0141</cdr:y>
    </cdr:from>
    <cdr:to>
      <cdr:x>0.4024</cdr:x>
      <cdr:y>0.07186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4AC295-671B-46BE-8E4C-4FEC78A8AFC4}"/>
            </a:ext>
          </a:extLst>
        </cdr:cNvPr>
        <cdr:cNvSpPr txBox="1"/>
      </cdr:nvSpPr>
      <cdr:spPr>
        <a:xfrm xmlns:a="http://schemas.openxmlformats.org/drawingml/2006/main">
          <a:off x="2258359" y="84417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0.65245</cdr:x>
      <cdr:y>0.10021</cdr:y>
    </cdr:from>
    <cdr:to>
      <cdr:x>0.9028</cdr:x>
      <cdr:y>0.15796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6D6CE2F-324A-4369-B6AC-D699CFDF23C2}"/>
            </a:ext>
          </a:extLst>
        </cdr:cNvPr>
        <cdr:cNvSpPr txBox="1"/>
      </cdr:nvSpPr>
      <cdr:spPr>
        <a:xfrm xmlns:a="http://schemas.openxmlformats.org/drawingml/2006/main">
          <a:off x="6393329" y="599888"/>
          <a:ext cx="2453156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жидкий</a:t>
          </a:r>
        </a:p>
      </cdr:txBody>
    </cdr:sp>
  </cdr:relSizeAnchor>
  <cdr:relSizeAnchor xmlns:cdr="http://schemas.openxmlformats.org/drawingml/2006/chartDrawing">
    <cdr:from>
      <cdr:x>0.62272</cdr:x>
      <cdr:y>0.35105</cdr:y>
    </cdr:from>
    <cdr:to>
      <cdr:x>0.8399</cdr:x>
      <cdr:y>0.4088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9010BEB-85B3-4C2C-BB9A-8F53750A4D1A}"/>
            </a:ext>
          </a:extLst>
        </cdr:cNvPr>
        <cdr:cNvSpPr txBox="1"/>
      </cdr:nvSpPr>
      <cdr:spPr>
        <a:xfrm xmlns:a="http://schemas.openxmlformats.org/drawingml/2006/main">
          <a:off x="6101975" y="2101476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0.49463</cdr:x>
      <cdr:y>0.62062</cdr:y>
    </cdr:from>
    <cdr:to>
      <cdr:x>0.85768</cdr:x>
      <cdr:y>0.67836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DB4C5C-C8A7-4841-BF86-4E9E78FAD4BC}"/>
            </a:ext>
          </a:extLst>
        </cdr:cNvPr>
        <cdr:cNvSpPr txBox="1"/>
      </cdr:nvSpPr>
      <cdr:spPr>
        <a:xfrm xmlns:a="http://schemas.openxmlformats.org/drawingml/2006/main">
          <a:off x="4846918" y="3715123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0.56893</cdr:x>
      <cdr:y>0.74609</cdr:y>
    </cdr:from>
    <cdr:to>
      <cdr:x>0.76547</cdr:x>
      <cdr:y>0.80769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4881366" y="4190772"/>
          <a:ext cx="1686300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0.70136</cdr:x>
      <cdr:y>0.49183</cdr:y>
    </cdr:from>
    <cdr:to>
      <cdr:x>0.82218</cdr:x>
      <cdr:y>0.55344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5986471" y="2740524"/>
          <a:ext cx="1031260" cy="343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0.7149</cdr:x>
      <cdr:y>0.07659</cdr:y>
    </cdr:from>
    <cdr:to>
      <cdr:x>0.91144</cdr:x>
      <cdr:y>0.13819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102051" y="426789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0.69559</cdr:x>
      <cdr:y>0.27407</cdr:y>
    </cdr:from>
    <cdr:to>
      <cdr:x>0.89213</cdr:x>
      <cdr:y>0.33567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F1B07FD-068F-4D59-A77F-C0AACE442BB3}"/>
            </a:ext>
          </a:extLst>
        </cdr:cNvPr>
        <cdr:cNvSpPr txBox="1"/>
      </cdr:nvSpPr>
      <cdr:spPr>
        <a:xfrm xmlns:a="http://schemas.openxmlformats.org/drawingml/2006/main">
          <a:off x="5937250" y="1527175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0.73121</cdr:x>
      <cdr:y>0.76553</cdr:y>
    </cdr:from>
    <cdr:to>
      <cdr:x>0.92775</cdr:x>
      <cdr:y>0.82714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275202" y="4299915"/>
          <a:ext cx="1686701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0.15347</cdr:x>
      <cdr:y>0.17862</cdr:y>
    </cdr:from>
    <cdr:to>
      <cdr:x>0.34978</cdr:x>
      <cdr:y>0.24016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176984C2-B813-4F11-8E94-36DD8D1E1CD0}"/>
            </a:ext>
          </a:extLst>
        </cdr:cNvPr>
        <cdr:cNvSpPr txBox="1"/>
      </cdr:nvSpPr>
      <cdr:spPr>
        <a:xfrm xmlns:a="http://schemas.openxmlformats.org/drawingml/2006/main">
          <a:off x="1317065" y="1003300"/>
          <a:ext cx="1684728" cy="345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0.14494</cdr:x>
      <cdr:y>0.47336</cdr:y>
    </cdr:from>
    <cdr:to>
      <cdr:x>0.33804</cdr:x>
      <cdr:y>0.53465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1260475" y="2651125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Ga[l]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0.55553</cdr:x>
      <cdr:y>0.40016</cdr:y>
    </cdr:from>
    <cdr:to>
      <cdr:x>0.74863</cdr:x>
      <cdr:y>0.46145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857440" y="2261478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0.48886</cdr:x>
      <cdr:y>0.61111</cdr:y>
    </cdr:from>
    <cdr:to>
      <cdr:x>0.57393</cdr:x>
      <cdr:y>0.6724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251325" y="3422650"/>
          <a:ext cx="739775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Ge[l]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489238</xdr:colOff>
      <xdr:row>35</xdr:row>
      <xdr:rowOff>0</xdr:rowOff>
    </xdr:from>
    <xdr:to>
      <xdr:col>57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30816</xdr:colOff>
      <xdr:row>0</xdr:row>
      <xdr:rowOff>1111783</xdr:rowOff>
    </xdr:from>
    <xdr:to>
      <xdr:col>59</xdr:col>
      <xdr:colOff>345222</xdr:colOff>
      <xdr:row>22</xdr:row>
      <xdr:rowOff>10405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113</xdr:row>
      <xdr:rowOff>190500</xdr:rowOff>
    </xdr:from>
    <xdr:to>
      <xdr:col>58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70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1</xdr:row>
      <xdr:rowOff>0</xdr:rowOff>
    </xdr:from>
    <xdr:to>
      <xdr:col>80</xdr:col>
      <xdr:colOff>672352</xdr:colOff>
      <xdr:row>21</xdr:row>
      <xdr:rowOff>238125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0.18247</cdr:x>
      <cdr:y>0.0268</cdr:y>
    </cdr:from>
    <cdr:to>
      <cdr:x>0.37933</cdr:x>
      <cdr:y>0.08933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563594" y="151653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0.79154</cdr:x>
      <cdr:y>0.08224</cdr:y>
    </cdr:from>
    <cdr:to>
      <cdr:x>0.98823</cdr:x>
      <cdr:y>0.14339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782783" y="465418"/>
          <a:ext cx="1685503" cy="346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0.56824</cdr:y>
    </cdr:from>
    <cdr:to>
      <cdr:x>0.47675</cdr:x>
      <cdr:y>0.63008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404707" y="3189955"/>
          <a:ext cx="1668644" cy="3471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0.30017</cdr:x>
      <cdr:y>0.10081</cdr:y>
    </cdr:from>
    <cdr:to>
      <cdr:x>0.40226</cdr:x>
      <cdr:y>0.16242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684182" y="566270"/>
          <a:ext cx="91290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0.31771</cdr:x>
      <cdr:y>0.52775</cdr:y>
    </cdr:from>
    <cdr:to>
      <cdr:x>0.38627</cdr:x>
      <cdr:y>0.58935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841065" y="2964330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0.50317</cdr:x>
      <cdr:y>0.69134</cdr:y>
    </cdr:from>
    <cdr:to>
      <cdr:x>0.6203</cdr:x>
      <cdr:y>0.75295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499535" y="3883212"/>
          <a:ext cx="1047377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0.1461</cdr:x>
      <cdr:y>0.77884</cdr:y>
    </cdr:from>
    <cdr:to>
      <cdr:x>0.24819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300573" y="4343737"/>
          <a:ext cx="908800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0.12366</cdr:x>
      <cdr:y>0.59591</cdr:y>
    </cdr:from>
    <cdr:to>
      <cdr:x>0.24329</cdr:x>
      <cdr:y>0.65752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100815" y="3323474"/>
          <a:ext cx="1064941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0.18081</cdr:x>
      <cdr:y>0.00171</cdr:y>
    </cdr:from>
    <cdr:to>
      <cdr:x>0.36946</cdr:x>
      <cdr:y>0.06471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609563" y="9525"/>
          <a:ext cx="1679353" cy="351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0.34779</cdr:x>
      <cdr:y>0.06889</cdr:y>
    </cdr:from>
    <cdr:to>
      <cdr:x>0.44988</cdr:x>
      <cdr:y>0.1305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110032" y="386951"/>
          <a:ext cx="912919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0.42133</cdr:x>
      <cdr:y>0.34301</cdr:y>
    </cdr:from>
    <cdr:to>
      <cdr:x>0.48989</cdr:x>
      <cdr:y>0.40461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740324" y="1948636"/>
          <a:ext cx="608639" cy="3499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0.53547</cdr:x>
      <cdr:y>0.63347</cdr:y>
    </cdr:from>
    <cdr:to>
      <cdr:x>0.6526</cdr:x>
      <cdr:y>0.69508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753587" y="3598754"/>
          <a:ext cx="1039817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0.171</cdr:x>
      <cdr:y>0.51098</cdr:y>
    </cdr:from>
    <cdr:to>
      <cdr:x>0.29063</cdr:x>
      <cdr:y>0.57259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518054" y="2902866"/>
          <a:ext cx="1062011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0.1548</cdr:x>
      <cdr:y>0</cdr:y>
    </cdr:from>
    <cdr:to>
      <cdr:x>0.34345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384300" y="0"/>
          <a:ext cx="1686920" cy="3538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809625</xdr:colOff>
          <xdr:row>0</xdr:row>
          <xdr:rowOff>9525</xdr:rowOff>
        </xdr:from>
        <xdr:to>
          <xdr:col>18</xdr:col>
          <xdr:colOff>666750</xdr:colOff>
          <xdr:row>0</xdr:row>
          <xdr:rowOff>352425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781050</xdr:colOff>
      <xdr:row>14</xdr:row>
      <xdr:rowOff>53787</xdr:rowOff>
    </xdr:from>
    <xdr:to>
      <xdr:col>69</xdr:col>
      <xdr:colOff>57149</xdr:colOff>
      <xdr:row>31</xdr:row>
      <xdr:rowOff>47625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69</xdr:col>
      <xdr:colOff>904315</xdr:colOff>
      <xdr:row>13</xdr:row>
      <xdr:rowOff>278186</xdr:rowOff>
    </xdr:from>
    <xdr:to>
      <xdr:col>77</xdr:col>
      <xdr:colOff>571500</xdr:colOff>
      <xdr:row>31</xdr:row>
      <xdr:rowOff>166687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44823</xdr:colOff>
      <xdr:row>32</xdr:row>
      <xdr:rowOff>47626</xdr:rowOff>
    </xdr:from>
    <xdr:to>
      <xdr:col>77</xdr:col>
      <xdr:colOff>666749</xdr:colOff>
      <xdr:row>48</xdr:row>
      <xdr:rowOff>71437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781050</xdr:colOff>
      <xdr:row>31</xdr:row>
      <xdr:rowOff>238125</xdr:rowOff>
    </xdr:from>
    <xdr:to>
      <xdr:col>68</xdr:col>
      <xdr:colOff>833437</xdr:colOff>
      <xdr:row>49</xdr:row>
      <xdr:rowOff>9525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0</xdr:col>
          <xdr:colOff>885825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BQ141"/>
  <sheetViews>
    <sheetView zoomScale="85" zoomScaleNormal="85" zoomScaleSheetLayoutView="25" workbookViewId="0">
      <selection activeCell="AA144" sqref="AA144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7" width="8.6328125" customWidth="1"/>
    <col min="8" max="26" width="8.6328125" hidden="1" customWidth="1"/>
    <col min="27" max="27" width="8.6328125" customWidth="1"/>
    <col min="28" max="35" width="8.6328125" hidden="1" customWidth="1"/>
    <col min="36" max="48" width="8.54296875" hidden="1" customWidth="1"/>
    <col min="49" max="49" width="3.6328125" hidden="1" customWidth="1"/>
    <col min="50" max="50" width="5.08984375" customWidth="1"/>
    <col min="68" max="68" width="4.6328125" customWidth="1"/>
    <col min="69" max="69" width="4.453125" customWidth="1"/>
    <col min="92" max="92" width="9" customWidth="1"/>
  </cols>
  <sheetData>
    <row r="1" spans="1:69" s="29" customFormat="1" ht="87.95" customHeight="1" x14ac:dyDescent="0.35">
      <c r="A1" s="99" t="s">
        <v>38</v>
      </c>
      <c r="B1" s="99"/>
      <c r="C1" s="99"/>
      <c r="D1" s="99"/>
      <c r="E1" s="99"/>
      <c r="F1" s="99"/>
      <c r="G1" s="99"/>
      <c r="H1"/>
      <c r="I1" s="100" t="s">
        <v>41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X1" s="39"/>
      <c r="BP1" s="49"/>
      <c r="BQ1" s="49"/>
    </row>
    <row r="2" spans="1:69" ht="21" customHeight="1" x14ac:dyDescent="0.4">
      <c r="A2" s="80">
        <v>460</v>
      </c>
      <c r="B2" s="2">
        <v>8.3145000000000007</v>
      </c>
      <c r="C2" s="59"/>
      <c r="D2" s="59"/>
      <c r="E2" s="61"/>
      <c r="F2" s="58" t="s">
        <v>11</v>
      </c>
      <c r="G2" s="58"/>
      <c r="H2" s="58"/>
      <c r="I2" s="58"/>
      <c r="J2" s="58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W2" s="40"/>
      <c r="AX2" s="40"/>
    </row>
    <row r="3" spans="1:69" ht="21" hidden="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3"/>
      <c r="F3" s="36">
        <v>298.2</v>
      </c>
      <c r="G3" s="36">
        <v>331.5</v>
      </c>
      <c r="H3" s="36">
        <v>364.9</v>
      </c>
      <c r="I3" s="36">
        <v>398.3</v>
      </c>
      <c r="J3" s="36">
        <v>431.7</v>
      </c>
      <c r="K3" s="36">
        <v>465.1</v>
      </c>
      <c r="L3" s="36">
        <v>498.5</v>
      </c>
      <c r="M3" s="36">
        <v>531.79999999999995</v>
      </c>
      <c r="N3" s="36">
        <v>565.20000000000005</v>
      </c>
      <c r="O3" s="36">
        <v>598.6</v>
      </c>
      <c r="P3" s="36">
        <v>632</v>
      </c>
      <c r="Q3" s="36">
        <v>665.4</v>
      </c>
      <c r="R3" s="36">
        <v>698.8</v>
      </c>
      <c r="S3" s="36">
        <v>832.3</v>
      </c>
      <c r="T3" s="36">
        <v>965.8</v>
      </c>
      <c r="U3" s="36">
        <v>1099</v>
      </c>
      <c r="V3" s="36">
        <v>1133</v>
      </c>
      <c r="W3" s="36">
        <v>1166</v>
      </c>
      <c r="X3" s="36">
        <v>1200</v>
      </c>
      <c r="Y3" s="36">
        <v>1233</v>
      </c>
      <c r="Z3" s="36">
        <v>1366</v>
      </c>
      <c r="AA3" s="36">
        <v>1500</v>
      </c>
    </row>
    <row r="4" spans="1:69" ht="21" hidden="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1</v>
      </c>
      <c r="D4" s="5">
        <f>IF( ISNUMBER( FIND(D$3,$E4,1)),   IF( ISNUMBER( VALUE(MID($E4,FIND(D$3,$E4,1)+2,1)) ), VALUE( MID($E4,FIND(D$3,$E4,1)+2,1) ),1),0)</f>
        <v>0</v>
      </c>
      <c r="E4" s="56" t="s">
        <v>68</v>
      </c>
      <c r="F4" s="83">
        <v>3.4126E-9</v>
      </c>
      <c r="G4" s="83">
        <v>6.8971000000000001E-9</v>
      </c>
      <c r="H4" s="83">
        <v>1.2251999999999999E-8</v>
      </c>
      <c r="I4" s="83">
        <v>9.8437000000000007E-9</v>
      </c>
      <c r="J4" s="83">
        <v>7.0928999999999998E-9</v>
      </c>
      <c r="K4" s="83">
        <v>1.4511000000000001E-11</v>
      </c>
      <c r="L4" s="83">
        <v>7.7667000000000001E-23</v>
      </c>
      <c r="M4" s="83">
        <v>0</v>
      </c>
      <c r="N4" s="83">
        <v>0</v>
      </c>
      <c r="O4" s="83">
        <v>0</v>
      </c>
      <c r="P4" s="83">
        <v>0</v>
      </c>
      <c r="Q4" s="83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3">
        <v>0</v>
      </c>
      <c r="X4" s="83">
        <v>0</v>
      </c>
      <c r="Y4" s="83">
        <v>0</v>
      </c>
      <c r="Z4" s="83">
        <v>0</v>
      </c>
      <c r="AA4" s="83">
        <v>0</v>
      </c>
    </row>
    <row r="5" spans="1:69" ht="21" hidden="1" customHeight="1" outlineLevel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1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0</v>
      </c>
      <c r="E5" s="56" t="s">
        <v>0</v>
      </c>
      <c r="F5" s="83">
        <v>7.6016999999999998E-31</v>
      </c>
      <c r="G5" s="83">
        <v>2.9062E-21</v>
      </c>
      <c r="H5" s="83">
        <v>1.2167E-17</v>
      </c>
      <c r="I5" s="83">
        <v>3.46E-16</v>
      </c>
      <c r="J5" s="83">
        <v>7.1997000000000001E-13</v>
      </c>
      <c r="K5" s="83">
        <v>1.5125000000000001E-9</v>
      </c>
      <c r="L5" s="83">
        <v>7.1831999999999998E-9</v>
      </c>
      <c r="M5" s="83">
        <v>2.7564000000000001E-8</v>
      </c>
      <c r="N5" s="83">
        <v>2.1766000000000001E-8</v>
      </c>
      <c r="O5" s="83">
        <v>2.3666000000000002E-8</v>
      </c>
      <c r="P5" s="83">
        <v>2.4103000000000001E-8</v>
      </c>
      <c r="Q5" s="83">
        <v>2.3997E-8</v>
      </c>
      <c r="R5" s="83">
        <v>2.3738999999999998E-8</v>
      </c>
      <c r="S5" s="83">
        <v>2.1979000000000001E-8</v>
      </c>
      <c r="T5" s="83">
        <v>2.1196E-8</v>
      </c>
      <c r="U5" s="83">
        <v>2.1174999999999999E-8</v>
      </c>
      <c r="V5" s="83">
        <v>2.1165999999999999E-8</v>
      </c>
      <c r="W5" s="83">
        <v>2.1155E-8</v>
      </c>
      <c r="X5" s="83">
        <v>2.1212999999999999E-8</v>
      </c>
      <c r="Y5" s="83">
        <v>2.1276999999999999E-8</v>
      </c>
      <c r="Z5" s="83">
        <v>2.1562000000000001E-8</v>
      </c>
      <c r="AA5" s="83">
        <v>2.1891000000000001E-8</v>
      </c>
    </row>
    <row r="6" spans="1:69" ht="21" hidden="1" customHeight="1" outlineLevel="1" thickBot="1" x14ac:dyDescent="0.4">
      <c r="A6" s="5">
        <f t="shared" si="0"/>
        <v>0</v>
      </c>
      <c r="B6" s="5">
        <f t="shared" si="0"/>
        <v>3</v>
      </c>
      <c r="C6" s="5">
        <f t="shared" si="1"/>
        <v>0</v>
      </c>
      <c r="D6" s="5">
        <f t="shared" si="1"/>
        <v>2</v>
      </c>
      <c r="E6" s="56" t="s">
        <v>74</v>
      </c>
      <c r="F6" s="83">
        <v>6.1059000000000002E-2</v>
      </c>
      <c r="G6" s="83">
        <v>5.6835999999999998E-2</v>
      </c>
      <c r="H6" s="83">
        <v>5.3668E-2</v>
      </c>
      <c r="I6" s="83">
        <v>5.2597999999999999E-2</v>
      </c>
      <c r="J6" s="83">
        <v>5.1083000000000003E-2</v>
      </c>
      <c r="K6" s="83">
        <v>4.7363000000000002E-2</v>
      </c>
      <c r="L6" s="83">
        <v>3.9135999999999997E-2</v>
      </c>
      <c r="M6" s="83">
        <v>2.6801E-4</v>
      </c>
      <c r="N6" s="83">
        <v>2.7487E-8</v>
      </c>
      <c r="O6" s="83">
        <v>5.4257999999999998E-12</v>
      </c>
      <c r="P6" s="83">
        <v>1.9164999999999999E-15</v>
      </c>
      <c r="Q6" s="83">
        <v>1.1293999999999999E-18</v>
      </c>
      <c r="R6" s="83">
        <v>1.0498000000000001E-21</v>
      </c>
      <c r="S6" s="83">
        <v>3.3894E-32</v>
      </c>
      <c r="T6" s="83">
        <v>0</v>
      </c>
      <c r="U6" s="83">
        <v>0</v>
      </c>
      <c r="V6" s="83">
        <v>0</v>
      </c>
      <c r="W6" s="83">
        <v>0</v>
      </c>
      <c r="X6" s="83">
        <v>0</v>
      </c>
      <c r="Y6" s="83">
        <v>0</v>
      </c>
      <c r="Z6" s="83">
        <v>0</v>
      </c>
      <c r="AA6" s="83">
        <v>0</v>
      </c>
    </row>
    <row r="7" spans="1:69" ht="21" hidden="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1"/>
        <v>1</v>
      </c>
      <c r="D7" s="5">
        <f t="shared" si="1"/>
        <v>0</v>
      </c>
      <c r="E7" s="56" t="s">
        <v>9</v>
      </c>
      <c r="F7" s="83">
        <v>0</v>
      </c>
      <c r="G7" s="83">
        <v>0</v>
      </c>
      <c r="H7" s="83">
        <v>0</v>
      </c>
      <c r="I7" s="83">
        <v>0</v>
      </c>
      <c r="J7" s="83">
        <v>0</v>
      </c>
      <c r="K7" s="83">
        <v>0</v>
      </c>
      <c r="L7" s="83">
        <v>4.7876999999999999E-34</v>
      </c>
      <c r="M7" s="83">
        <v>6.4196999999999995E-32</v>
      </c>
      <c r="N7" s="83">
        <v>1.0090000000000001E-29</v>
      </c>
      <c r="O7" s="83">
        <v>8.6744000000000001E-28</v>
      </c>
      <c r="P7" s="83">
        <v>4.6054000000000001E-26</v>
      </c>
      <c r="Q7" s="83">
        <v>1.6372E-24</v>
      </c>
      <c r="R7" s="83">
        <v>4.1365000000000001E-23</v>
      </c>
      <c r="S7" s="83">
        <v>1.2665E-18</v>
      </c>
      <c r="T7" s="83">
        <v>2.2310000000000002E-15</v>
      </c>
      <c r="U7" s="83">
        <v>6.3804999999999999E-13</v>
      </c>
      <c r="V7" s="83">
        <v>2.1290999999999999E-12</v>
      </c>
      <c r="W7" s="83">
        <v>6.6288000000000002E-12</v>
      </c>
      <c r="X7" s="83">
        <v>1.9369000000000001E-11</v>
      </c>
      <c r="Y7" s="83">
        <v>5.3384000000000003E-11</v>
      </c>
      <c r="Z7" s="83">
        <v>1.8718000000000001E-9</v>
      </c>
      <c r="AA7" s="83">
        <v>3.4675999999999999E-8</v>
      </c>
    </row>
    <row r="8" spans="1:69" ht="21" hidden="1" customHeight="1" outlineLevel="1" thickBot="1" x14ac:dyDescent="0.4">
      <c r="A8" s="5">
        <f t="shared" si="0"/>
        <v>1</v>
      </c>
      <c r="B8" s="5">
        <f t="shared" si="0"/>
        <v>0</v>
      </c>
      <c r="C8" s="5">
        <f t="shared" si="1"/>
        <v>0</v>
      </c>
      <c r="D8" s="5">
        <f t="shared" si="1"/>
        <v>0</v>
      </c>
      <c r="E8" s="56" t="s">
        <v>2</v>
      </c>
      <c r="F8" s="83">
        <v>0.2</v>
      </c>
      <c r="G8" s="83">
        <v>0.2</v>
      </c>
      <c r="H8" s="83">
        <v>0.2</v>
      </c>
      <c r="I8" s="83">
        <v>0.2</v>
      </c>
      <c r="J8" s="83">
        <v>0.2</v>
      </c>
      <c r="K8" s="83">
        <v>0.2</v>
      </c>
      <c r="L8" s="83">
        <v>0.2</v>
      </c>
      <c r="M8" s="83">
        <v>0.2</v>
      </c>
      <c r="N8" s="83">
        <v>0.2</v>
      </c>
      <c r="O8" s="83">
        <v>0.2</v>
      </c>
      <c r="P8" s="83">
        <v>0.2</v>
      </c>
      <c r="Q8" s="83">
        <v>0.2</v>
      </c>
      <c r="R8" s="83">
        <v>0.2</v>
      </c>
      <c r="S8" s="83">
        <v>0.2</v>
      </c>
      <c r="T8" s="83">
        <v>0.2</v>
      </c>
      <c r="U8" s="83">
        <v>0.2</v>
      </c>
      <c r="V8" s="83">
        <v>0.2</v>
      </c>
      <c r="W8" s="83">
        <v>0.2</v>
      </c>
      <c r="X8" s="83">
        <v>0.2</v>
      </c>
      <c r="Y8" s="83">
        <v>0.2</v>
      </c>
      <c r="Z8" s="83">
        <v>0.2</v>
      </c>
      <c r="AA8" s="83">
        <v>0.2</v>
      </c>
    </row>
    <row r="9" spans="1:69" ht="21" hidden="1" customHeight="1" outlineLevel="1" thickBot="1" x14ac:dyDescent="0.4">
      <c r="A9" s="5">
        <f t="shared" si="0"/>
        <v>0</v>
      </c>
      <c r="B9" s="5">
        <f t="shared" si="0"/>
        <v>2</v>
      </c>
      <c r="C9" s="5">
        <f t="shared" si="1"/>
        <v>1</v>
      </c>
      <c r="D9" s="5">
        <f t="shared" si="1"/>
        <v>0</v>
      </c>
      <c r="E9" s="56" t="s">
        <v>64</v>
      </c>
      <c r="F9" s="83">
        <v>5.2450999999999998E-2</v>
      </c>
      <c r="G9" s="83">
        <v>2.8126000000000002E-2</v>
      </c>
      <c r="H9" s="83">
        <v>7.5303999999999996E-3</v>
      </c>
      <c r="I9" s="83">
        <v>1.6239E-3</v>
      </c>
      <c r="J9" s="83">
        <v>3.8434999999999999E-4</v>
      </c>
      <c r="K9" s="83">
        <v>9.1833E-5</v>
      </c>
      <c r="L9" s="83">
        <v>1.6246999999999999E-5</v>
      </c>
      <c r="M9" s="83">
        <v>2.6618999999999999E-6</v>
      </c>
      <c r="N9" s="83">
        <v>2.8435999999999999E-7</v>
      </c>
      <c r="O9" s="83">
        <v>3.3676999999999998E-8</v>
      </c>
      <c r="P9" s="83">
        <v>4.5736E-9</v>
      </c>
      <c r="Q9" s="83">
        <v>7.0760000000000002E-10</v>
      </c>
      <c r="R9" s="83">
        <v>1.2301E-10</v>
      </c>
      <c r="S9" s="83">
        <v>2.8091000000000001E-13</v>
      </c>
      <c r="T9" s="83">
        <v>1.8204000000000002E-15</v>
      </c>
      <c r="U9" s="83">
        <v>2.3338E-17</v>
      </c>
      <c r="V9" s="83">
        <v>8.4999999999999995E-18</v>
      </c>
      <c r="W9" s="83">
        <v>3.1781000000000001E-18</v>
      </c>
      <c r="X9" s="83">
        <v>1.2172E-18</v>
      </c>
      <c r="Y9" s="83">
        <v>4.7653000000000002E-19</v>
      </c>
      <c r="Z9" s="83">
        <v>1.3479000000000001E-20</v>
      </c>
      <c r="AA9" s="83">
        <v>4.8049000000000002E-22</v>
      </c>
    </row>
    <row r="10" spans="1:69" ht="21" hidden="1" customHeight="1" outlineLevel="1" thickBot="1" x14ac:dyDescent="0.4">
      <c r="A10" s="5">
        <f t="shared" si="0"/>
        <v>0</v>
      </c>
      <c r="B10" s="5">
        <f t="shared" si="0"/>
        <v>1</v>
      </c>
      <c r="C10" s="5">
        <f t="shared" si="1"/>
        <v>1</v>
      </c>
      <c r="D10" s="5">
        <f t="shared" si="1"/>
        <v>0</v>
      </c>
      <c r="E10" s="56" t="s">
        <v>4</v>
      </c>
      <c r="F10" s="83">
        <v>6.7547999999999997E-2</v>
      </c>
      <c r="G10" s="83">
        <v>9.1858999999999996E-2</v>
      </c>
      <c r="H10" s="83">
        <v>0.11228</v>
      </c>
      <c r="I10" s="83">
        <v>0.11651</v>
      </c>
      <c r="J10" s="83">
        <v>0.10771</v>
      </c>
      <c r="K10" s="83">
        <v>7.7765000000000001E-2</v>
      </c>
      <c r="L10" s="83">
        <v>3.7217E-2</v>
      </c>
      <c r="M10" s="83">
        <v>1.4212000000000001E-2</v>
      </c>
      <c r="N10" s="83">
        <v>4.1484E-3</v>
      </c>
      <c r="O10" s="83">
        <v>1.2566999999999999E-3</v>
      </c>
      <c r="P10" s="83">
        <v>4.1047000000000002E-4</v>
      </c>
      <c r="Q10" s="83">
        <v>1.4464999999999999E-4</v>
      </c>
      <c r="R10" s="83">
        <v>5.4611999999999998E-5</v>
      </c>
      <c r="S10" s="83">
        <v>1.9085999999999998E-6</v>
      </c>
      <c r="T10" s="83">
        <v>1.2335E-7</v>
      </c>
      <c r="U10" s="83">
        <v>1.1891E-8</v>
      </c>
      <c r="V10" s="83">
        <v>6.9399E-9</v>
      </c>
      <c r="W10" s="83">
        <v>4.1128000000000001E-9</v>
      </c>
      <c r="X10" s="83">
        <v>2.4718000000000001E-9</v>
      </c>
      <c r="Y10" s="83">
        <v>1.5047E-9</v>
      </c>
      <c r="Z10" s="83">
        <v>2.3035999999999999E-10</v>
      </c>
      <c r="AA10" s="83">
        <v>4.0387000000000002E-11</v>
      </c>
    </row>
    <row r="11" spans="1:69" ht="21" hidden="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1"/>
        <v>0</v>
      </c>
      <c r="D11" s="5">
        <f t="shared" si="1"/>
        <v>2</v>
      </c>
      <c r="E11" s="56" t="s">
        <v>7</v>
      </c>
      <c r="F11" s="83">
        <v>3.8941000000000003E-2</v>
      </c>
      <c r="G11" s="83">
        <v>4.3164000000000001E-2</v>
      </c>
      <c r="H11" s="83">
        <v>4.6331999999999998E-2</v>
      </c>
      <c r="I11" s="83">
        <v>4.7402E-2</v>
      </c>
      <c r="J11" s="83">
        <v>4.8917000000000002E-2</v>
      </c>
      <c r="K11" s="83">
        <v>5.2613E-2</v>
      </c>
      <c r="L11" s="83">
        <v>5.6087999999999999E-2</v>
      </c>
      <c r="M11" s="83">
        <v>1.0441999999999999E-3</v>
      </c>
      <c r="N11" s="83">
        <v>1.0938E-7</v>
      </c>
      <c r="O11" s="83">
        <v>2.1668999999999999E-11</v>
      </c>
      <c r="P11" s="83">
        <v>7.6620999999999996E-15</v>
      </c>
      <c r="Q11" s="83">
        <v>4.5167E-18</v>
      </c>
      <c r="R11" s="83">
        <v>4.1988000000000002E-21</v>
      </c>
      <c r="S11" s="83">
        <v>1.3557999999999999E-31</v>
      </c>
      <c r="T11" s="83">
        <v>0</v>
      </c>
      <c r="U11" s="83">
        <v>0</v>
      </c>
      <c r="V11" s="83">
        <v>0</v>
      </c>
      <c r="W11" s="83">
        <v>0</v>
      </c>
      <c r="X11" s="83">
        <v>0</v>
      </c>
      <c r="Y11" s="83">
        <v>0</v>
      </c>
      <c r="Z11" s="83">
        <v>0</v>
      </c>
      <c r="AA11" s="83">
        <v>0</v>
      </c>
    </row>
    <row r="12" spans="1:69" ht="21" hidden="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1"/>
        <v>1</v>
      </c>
      <c r="D12" s="5">
        <f t="shared" si="1"/>
        <v>0</v>
      </c>
      <c r="E12" s="56" t="s">
        <v>3</v>
      </c>
      <c r="F12" s="83">
        <v>7.8764000000000003E-7</v>
      </c>
      <c r="G12" s="83">
        <v>7.4715999999999998E-6</v>
      </c>
      <c r="H12" s="83">
        <v>9.4738E-5</v>
      </c>
      <c r="I12" s="83">
        <v>9.3227000000000002E-4</v>
      </c>
      <c r="J12" s="83">
        <v>5.9503999999999998E-3</v>
      </c>
      <c r="K12" s="83">
        <v>2.1070999999999999E-2</v>
      </c>
      <c r="L12" s="83">
        <v>4.1383000000000003E-2</v>
      </c>
      <c r="M12" s="83">
        <v>5.2893000000000003E-2</v>
      </c>
      <c r="N12" s="83">
        <v>5.7925999999999998E-2</v>
      </c>
      <c r="O12" s="83">
        <v>5.9372000000000001E-2</v>
      </c>
      <c r="P12" s="83">
        <v>5.9795000000000001E-2</v>
      </c>
      <c r="Q12" s="83">
        <v>5.9928000000000002E-2</v>
      </c>
      <c r="R12" s="83">
        <v>5.9972999999999999E-2</v>
      </c>
      <c r="S12" s="83">
        <v>5.9998999999999997E-2</v>
      </c>
      <c r="T12" s="83">
        <v>0.06</v>
      </c>
      <c r="U12" s="83">
        <v>0.06</v>
      </c>
      <c r="V12" s="83">
        <v>0.06</v>
      </c>
      <c r="W12" s="83">
        <v>0.06</v>
      </c>
      <c r="X12" s="83">
        <v>0.06</v>
      </c>
      <c r="Y12" s="83">
        <v>0.06</v>
      </c>
      <c r="Z12" s="83">
        <v>0.06</v>
      </c>
      <c r="AA12" s="83">
        <v>0.06</v>
      </c>
    </row>
    <row r="13" spans="1:69" ht="21" hidden="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1"/>
        <v>0</v>
      </c>
      <c r="D13" s="5">
        <f t="shared" si="1"/>
        <v>1</v>
      </c>
      <c r="E13" s="56" t="s">
        <v>5</v>
      </c>
      <c r="F13" s="83">
        <v>6.9119E-21</v>
      </c>
      <c r="G13" s="83">
        <v>3.1046E-17</v>
      </c>
      <c r="H13" s="83">
        <v>1.1613000000000001E-13</v>
      </c>
      <c r="I13" s="83">
        <v>2.0468999999999999E-10</v>
      </c>
      <c r="J13" s="83">
        <v>1.4782000000000001E-7</v>
      </c>
      <c r="K13" s="83">
        <v>4.8347000000000003E-5</v>
      </c>
      <c r="L13" s="83">
        <v>9.5520999999999991E-3</v>
      </c>
      <c r="M13" s="83">
        <v>0.19738</v>
      </c>
      <c r="N13" s="83">
        <v>0.2</v>
      </c>
      <c r="O13" s="83">
        <v>0.2</v>
      </c>
      <c r="P13" s="83">
        <v>0.2</v>
      </c>
      <c r="Q13" s="83">
        <v>0.2</v>
      </c>
      <c r="R13" s="83">
        <v>0.2</v>
      </c>
      <c r="S13" s="83">
        <v>0.2</v>
      </c>
      <c r="T13" s="83">
        <v>0.2</v>
      </c>
      <c r="U13" s="83">
        <v>0.2</v>
      </c>
      <c r="V13" s="83">
        <v>0.2</v>
      </c>
      <c r="W13" s="83">
        <v>0.2</v>
      </c>
      <c r="X13" s="83">
        <v>0.2</v>
      </c>
      <c r="Y13" s="83">
        <v>0.2</v>
      </c>
      <c r="Z13" s="83">
        <v>0.2</v>
      </c>
      <c r="AA13" s="83">
        <v>0.2</v>
      </c>
    </row>
    <row r="14" spans="1:69" ht="21" hidden="1" customHeight="1" outlineLevel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56" t="s">
        <v>42</v>
      </c>
      <c r="F14" s="83">
        <v>6.5137E-9</v>
      </c>
      <c r="G14" s="83">
        <v>1.8022999999999999E-8</v>
      </c>
      <c r="H14" s="83">
        <v>1.9216000000000001E-8</v>
      </c>
      <c r="I14" s="83">
        <v>1.4127999999999999E-8</v>
      </c>
      <c r="J14" s="83">
        <v>1.0792E-8</v>
      </c>
      <c r="K14" s="83">
        <v>9.9617999999999992E-9</v>
      </c>
      <c r="L14" s="83">
        <v>1.0096E-8</v>
      </c>
      <c r="M14" s="83">
        <v>2.1419000000000001E-8</v>
      </c>
      <c r="N14" s="83">
        <v>1.5926E-8</v>
      </c>
      <c r="O14" s="83">
        <v>1.1574E-8</v>
      </c>
      <c r="P14" s="83">
        <v>8.3898000000000001E-9</v>
      </c>
      <c r="Q14" s="83">
        <v>6.0866000000000001E-9</v>
      </c>
      <c r="R14" s="83">
        <v>4.4243000000000001E-9</v>
      </c>
      <c r="S14" s="83">
        <v>1.2651999999999999E-9</v>
      </c>
      <c r="T14" s="83">
        <v>3.7555000000000001E-10</v>
      </c>
      <c r="U14" s="83">
        <v>1.1495E-10</v>
      </c>
      <c r="V14" s="83">
        <v>8.5818999999999999E-11</v>
      </c>
      <c r="W14" s="83">
        <v>6.4141000000000006E-11</v>
      </c>
      <c r="X14" s="83">
        <v>4.7985000000000003E-11</v>
      </c>
      <c r="Y14" s="83">
        <v>3.5928000000000001E-11</v>
      </c>
      <c r="Z14" s="83">
        <v>1.135E-11</v>
      </c>
      <c r="AA14" s="83">
        <v>3.5938999999999999E-12</v>
      </c>
    </row>
    <row r="15" spans="1:69" ht="21" hidden="1" customHeight="1" outlineLevel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56" t="s">
        <v>63</v>
      </c>
      <c r="F15" s="83">
        <v>1.8050999999999999E-9</v>
      </c>
      <c r="G15" s="83">
        <v>6.1321000000000004E-9</v>
      </c>
      <c r="H15" s="83">
        <v>7.7454999999999998E-9</v>
      </c>
      <c r="I15" s="83">
        <v>6.5640999999999997E-9</v>
      </c>
      <c r="J15" s="83">
        <v>5.6573000000000003E-9</v>
      </c>
      <c r="K15" s="83">
        <v>5.7921000000000003E-9</v>
      </c>
      <c r="L15" s="83">
        <v>6.3408999999999999E-9</v>
      </c>
      <c r="M15" s="83">
        <v>1.3219000000000001E-8</v>
      </c>
      <c r="N15" s="83">
        <v>9.6430000000000007E-9</v>
      </c>
      <c r="O15" s="83">
        <v>6.8697E-9</v>
      </c>
      <c r="P15" s="83">
        <v>4.8790000000000002E-9</v>
      </c>
      <c r="Q15" s="83">
        <v>3.4675999999999999E-9</v>
      </c>
      <c r="R15" s="83">
        <v>2.4694000000000002E-9</v>
      </c>
      <c r="S15" s="83">
        <v>6.5206000000000002E-10</v>
      </c>
      <c r="T15" s="83">
        <v>1.7954999999999999E-10</v>
      </c>
      <c r="U15" s="83">
        <v>5.1136000000000002E-11</v>
      </c>
      <c r="V15" s="83">
        <v>3.7508999999999999E-11</v>
      </c>
      <c r="W15" s="83">
        <v>2.7548999999999999E-11</v>
      </c>
      <c r="X15" s="83">
        <v>2.0257999999999999E-11</v>
      </c>
      <c r="Y15" s="83">
        <v>1.4910999999999999E-11</v>
      </c>
      <c r="Z15" s="83">
        <v>4.4090000000000003E-12</v>
      </c>
      <c r="AA15" s="83">
        <v>1.311E-12</v>
      </c>
    </row>
    <row r="16" spans="1:69" ht="21" hidden="1" customHeight="1" outlineLevel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56" t="s">
        <v>62</v>
      </c>
      <c r="F16" s="83">
        <v>7.5507999999999999E-3</v>
      </c>
      <c r="G16" s="83">
        <v>3.1889000000000001E-2</v>
      </c>
      <c r="H16" s="83">
        <v>5.2658999999999997E-2</v>
      </c>
      <c r="I16" s="83">
        <v>6.0241000000000003E-2</v>
      </c>
      <c r="J16" s="83">
        <v>7.1516999999999997E-2</v>
      </c>
      <c r="K16" s="83">
        <v>0.10212</v>
      </c>
      <c r="L16" s="83">
        <v>0.15708</v>
      </c>
      <c r="M16" s="83">
        <v>0.46184999999999998</v>
      </c>
      <c r="N16" s="83">
        <v>0.47585</v>
      </c>
      <c r="O16" s="83">
        <v>0.47874</v>
      </c>
      <c r="P16" s="83">
        <v>0.47959000000000002</v>
      </c>
      <c r="Q16" s="83">
        <v>0.47986000000000001</v>
      </c>
      <c r="R16" s="83">
        <v>0.47994999999999999</v>
      </c>
      <c r="S16" s="83">
        <v>0.48</v>
      </c>
      <c r="T16" s="83">
        <v>0.48</v>
      </c>
      <c r="U16" s="83">
        <v>0.48</v>
      </c>
      <c r="V16" s="83">
        <v>0.48</v>
      </c>
      <c r="W16" s="83">
        <v>0.48</v>
      </c>
      <c r="X16" s="83">
        <v>0.48</v>
      </c>
      <c r="Y16" s="83">
        <v>0.48</v>
      </c>
      <c r="Z16" s="83">
        <v>0.48</v>
      </c>
      <c r="AA16" s="83">
        <v>0.48</v>
      </c>
    </row>
    <row r="17" spans="1:27" ht="21" hidden="1" customHeight="1" outlineLevel="1" thickBot="1" x14ac:dyDescent="0.4">
      <c r="A17" s="5">
        <f t="shared" si="2"/>
        <v>0</v>
      </c>
      <c r="B17" s="5">
        <f t="shared" si="2"/>
        <v>1</v>
      </c>
      <c r="C17" s="5">
        <f t="shared" si="1"/>
        <v>0</v>
      </c>
      <c r="D17" s="5">
        <f t="shared" si="1"/>
        <v>0</v>
      </c>
      <c r="E17" s="56" t="s">
        <v>43</v>
      </c>
      <c r="F17" s="83">
        <v>3.0203999999999999E-11</v>
      </c>
      <c r="G17" s="83">
        <v>1.6382999999999999E-10</v>
      </c>
      <c r="H17" s="83">
        <v>3.0786000000000001E-10</v>
      </c>
      <c r="I17" s="83">
        <v>3.6768000000000002E-10</v>
      </c>
      <c r="J17" s="83">
        <v>4.2795999999999999E-10</v>
      </c>
      <c r="K17" s="83">
        <v>5.7186000000000003E-10</v>
      </c>
      <c r="L17" s="83">
        <v>7.9461000000000001E-10</v>
      </c>
      <c r="M17" s="83">
        <v>2.0544999999999999E-9</v>
      </c>
      <c r="N17" s="83">
        <v>1.8229E-9</v>
      </c>
      <c r="O17" s="83">
        <v>1.5537999999999999E-9</v>
      </c>
      <c r="P17" s="83">
        <v>1.3017E-9</v>
      </c>
      <c r="Q17" s="83">
        <v>1.0779E-9</v>
      </c>
      <c r="R17" s="83">
        <v>8.8486999999999996E-10</v>
      </c>
      <c r="S17" s="83">
        <v>3.7916999999999999E-10</v>
      </c>
      <c r="T17" s="83">
        <v>1.5362999999999999E-10</v>
      </c>
      <c r="U17" s="83">
        <v>6.0235999999999995E-11</v>
      </c>
      <c r="V17" s="83">
        <v>4.7475999999999998E-11</v>
      </c>
      <c r="W17" s="83">
        <v>3.7364999999999998E-11</v>
      </c>
      <c r="X17" s="83">
        <v>2.9366999999999998E-11</v>
      </c>
      <c r="Y17" s="83">
        <v>2.3048E-11</v>
      </c>
      <c r="Z17" s="83">
        <v>8.6270000000000003E-12</v>
      </c>
      <c r="AA17" s="83">
        <v>3.1578000000000001E-12</v>
      </c>
    </row>
    <row r="18" spans="1:27" ht="21" hidden="1" customHeight="1" outlineLevel="1" thickBot="1" x14ac:dyDescent="0.4">
      <c r="A18" s="5">
        <f t="shared" si="2"/>
        <v>0</v>
      </c>
      <c r="B18" s="5">
        <f t="shared" si="2"/>
        <v>0</v>
      </c>
      <c r="C18" s="5">
        <f t="shared" si="1"/>
        <v>1</v>
      </c>
      <c r="D18" s="5">
        <f t="shared" si="1"/>
        <v>0</v>
      </c>
      <c r="E18" s="56" t="s">
        <v>73</v>
      </c>
      <c r="F18" s="83">
        <v>7.8764000000000003E-7</v>
      </c>
      <c r="G18" s="83">
        <v>7.4715999999999998E-6</v>
      </c>
      <c r="H18" s="83">
        <v>9.4738E-5</v>
      </c>
      <c r="I18" s="83">
        <v>9.3227000000000002E-4</v>
      </c>
      <c r="J18" s="83">
        <v>5.9503999999999998E-3</v>
      </c>
      <c r="K18" s="83">
        <v>2.1070999999999999E-2</v>
      </c>
      <c r="L18" s="83">
        <v>4.1383000000000003E-2</v>
      </c>
      <c r="M18" s="83">
        <v>5.2893000000000003E-2</v>
      </c>
      <c r="N18" s="83">
        <v>5.7925999999999998E-2</v>
      </c>
      <c r="O18" s="83">
        <v>5.9372000000000001E-2</v>
      </c>
      <c r="P18" s="83">
        <v>5.9795000000000001E-2</v>
      </c>
      <c r="Q18" s="83">
        <v>5.9928000000000002E-2</v>
      </c>
      <c r="R18" s="83">
        <v>5.9972999999999999E-2</v>
      </c>
      <c r="S18" s="83">
        <v>5.9998999999999997E-2</v>
      </c>
      <c r="T18" s="83">
        <v>0.06</v>
      </c>
      <c r="U18" s="83">
        <v>0.06</v>
      </c>
      <c r="V18" s="83">
        <v>0.06</v>
      </c>
      <c r="W18" s="83">
        <v>0.06</v>
      </c>
      <c r="X18" s="83">
        <v>0.06</v>
      </c>
      <c r="Y18" s="83">
        <v>0.06</v>
      </c>
      <c r="Z18" s="83">
        <v>0.06</v>
      </c>
      <c r="AA18" s="83">
        <v>0.06</v>
      </c>
    </row>
    <row r="19" spans="1:27" ht="21" hidden="1" customHeight="1" outlineLevel="1" thickBot="1" x14ac:dyDescent="0.4">
      <c r="A19" s="5">
        <f t="shared" si="2"/>
        <v>1</v>
      </c>
      <c r="B19" s="5">
        <f t="shared" si="2"/>
        <v>0</v>
      </c>
      <c r="C19" s="5">
        <f t="shared" si="1"/>
        <v>0</v>
      </c>
      <c r="D19" s="5">
        <f t="shared" si="1"/>
        <v>0</v>
      </c>
      <c r="E19" s="56" t="s">
        <v>69</v>
      </c>
      <c r="F19" s="83">
        <v>-18.88</v>
      </c>
      <c r="G19" s="83">
        <v>-18.87</v>
      </c>
      <c r="H19" s="83">
        <v>-18.899999999999999</v>
      </c>
      <c r="I19" s="83">
        <v>-18.940000000000001</v>
      </c>
      <c r="J19" s="83">
        <v>-18.989999999999998</v>
      </c>
      <c r="K19" s="83">
        <v>-19.04</v>
      </c>
      <c r="L19" s="83">
        <v>-19.07</v>
      </c>
      <c r="M19" s="83">
        <v>-18.96</v>
      </c>
      <c r="N19" s="83">
        <v>-19.03</v>
      </c>
      <c r="O19" s="83">
        <v>-19.100000000000001</v>
      </c>
      <c r="P19" s="83">
        <v>-19.170000000000002</v>
      </c>
      <c r="Q19" s="83">
        <v>-19.239999999999998</v>
      </c>
      <c r="R19" s="83">
        <v>-19.309999999999999</v>
      </c>
      <c r="S19" s="83">
        <v>-19.57</v>
      </c>
      <c r="T19" s="83">
        <v>-19.82</v>
      </c>
      <c r="U19" s="83">
        <v>-20.05</v>
      </c>
      <c r="V19" s="83">
        <v>-20.11</v>
      </c>
      <c r="W19" s="83">
        <v>-20.16</v>
      </c>
      <c r="X19" s="83">
        <v>-20.21</v>
      </c>
      <c r="Y19" s="83">
        <v>-20.260000000000002</v>
      </c>
      <c r="Z19" s="83">
        <v>-20.46</v>
      </c>
      <c r="AA19" s="83">
        <v>-20.65</v>
      </c>
    </row>
    <row r="20" spans="1:27" ht="21" hidden="1" customHeight="1" outlineLevel="1" thickBot="1" x14ac:dyDescent="0.4">
      <c r="A20" s="5">
        <f t="shared" si="2"/>
        <v>0</v>
      </c>
      <c r="B20" s="5">
        <f t="shared" si="2"/>
        <v>0</v>
      </c>
      <c r="C20" s="5">
        <f t="shared" si="1"/>
        <v>0</v>
      </c>
      <c r="D20" s="5">
        <f t="shared" si="1"/>
        <v>1</v>
      </c>
      <c r="E20" s="56" t="s">
        <v>70</v>
      </c>
      <c r="F20" s="83">
        <v>-60.79</v>
      </c>
      <c r="G20" s="83">
        <v>-53.82</v>
      </c>
      <c r="H20" s="83">
        <v>-47.01</v>
      </c>
      <c r="I20" s="83">
        <v>-40.9</v>
      </c>
      <c r="J20" s="83">
        <v>-35.71</v>
      </c>
      <c r="K20" s="83">
        <v>-31.39</v>
      </c>
      <c r="L20" s="83">
        <v>-27.66</v>
      </c>
      <c r="M20" s="83">
        <v>-26.79</v>
      </c>
      <c r="N20" s="83">
        <v>-28.11</v>
      </c>
      <c r="O20" s="83">
        <v>-29.41</v>
      </c>
      <c r="P20" s="83">
        <v>-30.69</v>
      </c>
      <c r="Q20" s="83">
        <v>-31.94</v>
      </c>
      <c r="R20" s="83">
        <v>-33.159999999999997</v>
      </c>
      <c r="S20" s="83">
        <v>-37.67</v>
      </c>
      <c r="T20" s="83">
        <v>-41.43</v>
      </c>
      <c r="U20" s="83">
        <v>-44.33</v>
      </c>
      <c r="V20" s="83">
        <v>-44.9</v>
      </c>
      <c r="W20" s="83">
        <v>-45.42</v>
      </c>
      <c r="X20" s="83">
        <v>-45.86</v>
      </c>
      <c r="Y20" s="83">
        <v>-46.25</v>
      </c>
      <c r="Z20" s="83">
        <v>-47.11</v>
      </c>
      <c r="AA20" s="83">
        <v>-46.85</v>
      </c>
    </row>
    <row r="21" spans="1:27" ht="21" hidden="1" customHeight="1" outlineLevel="1" thickBot="1" x14ac:dyDescent="0.4">
      <c r="A21" s="5">
        <f t="shared" ref="A21:D24" si="3">IF( ISNUMBER( FIND(A$3,$E21,1)),   IF( ISNUMBER( VALUE(MID($E21,FIND(A$3,$E21,1)+2,1)) ), VALUE( MID($E21,FIND(A$3,$E21,1)+2,1) ),1),0)</f>
        <v>0</v>
      </c>
      <c r="B21" s="5">
        <f t="shared" si="3"/>
        <v>0</v>
      </c>
      <c r="C21" s="5">
        <f t="shared" si="3"/>
        <v>1</v>
      </c>
      <c r="D21" s="5">
        <f t="shared" si="3"/>
        <v>0</v>
      </c>
      <c r="E21" s="56" t="s">
        <v>71</v>
      </c>
      <c r="F21" s="83">
        <v>-16</v>
      </c>
      <c r="G21" s="83">
        <v>-13.92</v>
      </c>
      <c r="H21" s="83">
        <v>-11.54</v>
      </c>
      <c r="I21" s="83">
        <v>-9.3460000000000001</v>
      </c>
      <c r="J21" s="83">
        <v>-7.6120000000000001</v>
      </c>
      <c r="K21" s="83">
        <v>-6.5529999999999999</v>
      </c>
      <c r="L21" s="83">
        <v>-6.1760000000000002</v>
      </c>
      <c r="M21" s="83">
        <v>-6.8330000000000002</v>
      </c>
      <c r="N21" s="83">
        <v>-6.843</v>
      </c>
      <c r="O21" s="83">
        <v>-6.9039999999999999</v>
      </c>
      <c r="P21" s="83">
        <v>-6.9809999999999999</v>
      </c>
      <c r="Q21" s="83">
        <v>-7.0620000000000003</v>
      </c>
      <c r="R21" s="83">
        <v>-7.1429999999999998</v>
      </c>
      <c r="S21" s="83">
        <v>-7.4630000000000001</v>
      </c>
      <c r="T21" s="83">
        <v>-7.7649999999999997</v>
      </c>
      <c r="U21" s="83">
        <v>-8.048</v>
      </c>
      <c r="V21" s="83">
        <v>-8.1159999999999997</v>
      </c>
      <c r="W21" s="83">
        <v>-8.1820000000000004</v>
      </c>
      <c r="X21" s="83">
        <v>-8.2479999999999993</v>
      </c>
      <c r="Y21" s="83">
        <v>-8.3130000000000006</v>
      </c>
      <c r="Z21" s="83">
        <v>-8.5609999999999999</v>
      </c>
      <c r="AA21" s="83">
        <v>-8.7949999999999999</v>
      </c>
    </row>
    <row r="22" spans="1:27" ht="21" hidden="1" customHeight="1" outlineLevel="1" thickBot="1" x14ac:dyDescent="0.4">
      <c r="A22" s="5">
        <f t="shared" si="3"/>
        <v>0</v>
      </c>
      <c r="B22" s="5">
        <f t="shared" si="3"/>
        <v>1</v>
      </c>
      <c r="C22" s="5">
        <f t="shared" si="3"/>
        <v>0</v>
      </c>
      <c r="D22" s="5">
        <f t="shared" si="3"/>
        <v>0</v>
      </c>
      <c r="E22" s="56" t="s">
        <v>72</v>
      </c>
      <c r="F22" s="83">
        <v>-22.14</v>
      </c>
      <c r="G22" s="83">
        <v>-21.3</v>
      </c>
      <c r="H22" s="83">
        <v>-21.39</v>
      </c>
      <c r="I22" s="83">
        <v>-21.8</v>
      </c>
      <c r="J22" s="83">
        <v>-22.19</v>
      </c>
      <c r="K22" s="83">
        <v>-22.48</v>
      </c>
      <c r="L22" s="83">
        <v>-22.79</v>
      </c>
      <c r="M22" s="83">
        <v>-23.04</v>
      </c>
      <c r="N22" s="83">
        <v>-23.53</v>
      </c>
      <c r="O22" s="83">
        <v>-24.03</v>
      </c>
      <c r="P22" s="83">
        <v>-24.51</v>
      </c>
      <c r="Q22" s="83">
        <v>-24.99</v>
      </c>
      <c r="R22" s="83">
        <v>-25.47</v>
      </c>
      <c r="S22" s="83">
        <v>-27.28</v>
      </c>
      <c r="T22" s="83">
        <v>-29</v>
      </c>
      <c r="U22" s="83">
        <v>-30.63</v>
      </c>
      <c r="V22" s="83">
        <v>-31.03</v>
      </c>
      <c r="W22" s="83">
        <v>-31.42</v>
      </c>
      <c r="X22" s="83">
        <v>-31.81</v>
      </c>
      <c r="Y22" s="83">
        <v>-32.200000000000003</v>
      </c>
      <c r="Z22" s="83">
        <v>-33.729999999999997</v>
      </c>
      <c r="AA22" s="83">
        <v>-35.22</v>
      </c>
    </row>
    <row r="23" spans="1:27" ht="21" hidden="1" customHeight="1" outlineLevel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5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</row>
    <row r="24" spans="1:27" ht="21" hidden="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5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</row>
    <row r="25" spans="1:27" ht="21" hidden="1" customHeight="1" outlineLevel="1" thickBot="1" x14ac:dyDescent="0.4">
      <c r="A25" s="5"/>
      <c r="B25" s="5"/>
      <c r="C25" s="5"/>
      <c r="D25" s="5"/>
      <c r="E25" s="5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</row>
    <row r="26" spans="1:27" ht="21" hidden="1" customHeight="1" outlineLevel="1" thickBot="1" x14ac:dyDescent="0.4">
      <c r="A26" s="5"/>
      <c r="B26" s="5"/>
      <c r="C26" s="5"/>
      <c r="D26" s="5"/>
      <c r="E26" s="5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</row>
    <row r="27" spans="1:27" ht="21" hidden="1" customHeight="1" outlineLevel="1" thickBot="1" x14ac:dyDescent="0.4">
      <c r="A27" s="5"/>
      <c r="B27" s="5"/>
      <c r="C27" s="5"/>
      <c r="D27" s="5"/>
      <c r="E27" s="5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</row>
    <row r="28" spans="1:27" ht="21" hidden="1" customHeight="1" outlineLevel="1" thickBot="1" x14ac:dyDescent="0.4">
      <c r="A28" s="5"/>
      <c r="B28" s="5"/>
      <c r="C28" s="5"/>
      <c r="D28" s="5"/>
      <c r="E28" s="5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</row>
    <row r="29" spans="1:27" ht="21" hidden="1" customHeight="1" outlineLevel="1" thickBot="1" x14ac:dyDescent="0.4">
      <c r="A29" s="5"/>
      <c r="B29" s="5"/>
      <c r="C29" s="5"/>
      <c r="D29" s="5"/>
      <c r="E29" s="41"/>
    </row>
    <row r="30" spans="1:27" ht="21" hidden="1" customHeight="1" outlineLevel="1" thickBot="1" x14ac:dyDescent="0.4">
      <c r="A30" s="5"/>
      <c r="B30" s="5"/>
      <c r="C30" s="5"/>
      <c r="D30" s="5"/>
      <c r="E30" s="41"/>
    </row>
    <row r="31" spans="1:27" ht="21" hidden="1" customHeight="1" outlineLevel="1" thickBot="1" x14ac:dyDescent="0.4">
      <c r="A31" s="5"/>
      <c r="B31" s="5"/>
      <c r="C31" s="5"/>
      <c r="D31" s="5"/>
      <c r="E31" s="41"/>
    </row>
    <row r="32" spans="1:27" ht="21" hidden="1" customHeight="1" outlineLevel="1" thickBot="1" x14ac:dyDescent="0.4">
      <c r="A32" s="5"/>
      <c r="B32" s="5"/>
      <c r="C32" s="5"/>
      <c r="D32" s="5"/>
      <c r="E32" s="41"/>
    </row>
    <row r="33" spans="1:51" ht="21" hidden="1" customHeight="1" outlineLevel="1" thickBot="1" x14ac:dyDescent="0.4">
      <c r="A33" s="5"/>
      <c r="B33" s="5"/>
      <c r="C33" s="5"/>
      <c r="D33" s="5"/>
      <c r="E33" s="41">
        <v>1</v>
      </c>
    </row>
    <row r="34" spans="1:51" ht="21" hidden="1" customHeight="1" outlineLevel="1" x14ac:dyDescent="0.35">
      <c r="E34">
        <f>$A$2</f>
        <v>460</v>
      </c>
      <c r="F34">
        <f>MIN(F4:AM20)</f>
        <v>-60.79</v>
      </c>
    </row>
    <row r="35" spans="1:51" ht="21" customHeight="1" collapsed="1" thickBot="1" x14ac:dyDescent="0.4">
      <c r="A35" s="40"/>
      <c r="B35" s="40"/>
      <c r="C35" s="40"/>
      <c r="D35" s="40"/>
      <c r="E35" s="40">
        <f>$A$2</f>
        <v>460</v>
      </c>
      <c r="F35" s="40">
        <f>MAX(F4:AM20)</f>
        <v>0.48</v>
      </c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</row>
    <row r="36" spans="1:51" ht="21" customHeight="1" thickTop="1" thickBot="1" x14ac:dyDescent="0.45">
      <c r="A36" s="43" t="s">
        <v>12</v>
      </c>
      <c r="B36" s="44"/>
      <c r="C36" s="44"/>
      <c r="D36" s="44"/>
      <c r="E36" s="45"/>
      <c r="F36" s="58" t="s">
        <v>280</v>
      </c>
      <c r="G36" s="58"/>
      <c r="H36" s="58"/>
      <c r="I36" s="58"/>
      <c r="J36" s="58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W36" s="18"/>
      <c r="AX36" s="40"/>
      <c r="AY36" s="40"/>
    </row>
    <row r="37" spans="1:51" ht="21" hidden="1" customHeight="1" outlineLevel="1" thickTop="1" thickBot="1" x14ac:dyDescent="0.4">
      <c r="A37" s="36" t="s">
        <v>2</v>
      </c>
      <c r="B37" s="36" t="s">
        <v>9</v>
      </c>
      <c r="C37" s="36" t="s">
        <v>10</v>
      </c>
      <c r="D37" s="36" t="s">
        <v>8</v>
      </c>
      <c r="E37" s="36" t="s">
        <v>14</v>
      </c>
      <c r="F37" s="36">
        <f>F$3</f>
        <v>298.2</v>
      </c>
      <c r="G37" s="36">
        <f>G$3</f>
        <v>331.5</v>
      </c>
      <c r="H37" s="36">
        <f t="shared" ref="H37:AA37" si="4">H$3</f>
        <v>364.9</v>
      </c>
      <c r="I37" s="36">
        <f t="shared" si="4"/>
        <v>398.3</v>
      </c>
      <c r="J37" s="36">
        <f t="shared" si="4"/>
        <v>431.7</v>
      </c>
      <c r="K37" s="36">
        <f t="shared" si="4"/>
        <v>465.1</v>
      </c>
      <c r="L37" s="36">
        <f t="shared" si="4"/>
        <v>498.5</v>
      </c>
      <c r="M37" s="36">
        <f t="shared" si="4"/>
        <v>531.79999999999995</v>
      </c>
      <c r="N37" s="36">
        <f t="shared" si="4"/>
        <v>565.20000000000005</v>
      </c>
      <c r="O37" s="36">
        <f t="shared" si="4"/>
        <v>598.6</v>
      </c>
      <c r="P37" s="36">
        <f t="shared" si="4"/>
        <v>632</v>
      </c>
      <c r="Q37" s="36">
        <f t="shared" si="4"/>
        <v>665.4</v>
      </c>
      <c r="R37" s="36">
        <f t="shared" si="4"/>
        <v>698.8</v>
      </c>
      <c r="S37" s="36">
        <f t="shared" si="4"/>
        <v>832.3</v>
      </c>
      <c r="T37" s="36">
        <f t="shared" si="4"/>
        <v>965.8</v>
      </c>
      <c r="U37" s="36">
        <f t="shared" si="4"/>
        <v>1099</v>
      </c>
      <c r="V37" s="36">
        <f t="shared" si="4"/>
        <v>1133</v>
      </c>
      <c r="W37" s="36">
        <f t="shared" si="4"/>
        <v>1166</v>
      </c>
      <c r="X37" s="36">
        <f t="shared" si="4"/>
        <v>1200</v>
      </c>
      <c r="Y37" s="36">
        <f t="shared" si="4"/>
        <v>1233</v>
      </c>
      <c r="Z37" s="36">
        <f t="shared" si="4"/>
        <v>1366</v>
      </c>
      <c r="AA37" s="36">
        <f t="shared" si="4"/>
        <v>1500</v>
      </c>
    </row>
    <row r="38" spans="1:51" ht="21" hidden="1" customHeight="1" outlineLevel="1" thickTop="1" x14ac:dyDescent="0.35">
      <c r="A38" s="17">
        <f>A43/$B43</f>
        <v>1.6666666666666667</v>
      </c>
      <c r="B38" s="17">
        <f>B43/$B43</f>
        <v>1</v>
      </c>
      <c r="C38" s="17">
        <f>C43/$B43</f>
        <v>1.6666666666666667</v>
      </c>
      <c r="D38" s="17">
        <f>D43/$B43</f>
        <v>4</v>
      </c>
      <c r="E38" s="17">
        <f>SUM(A38:D38)</f>
        <v>8.3333333333333339</v>
      </c>
      <c r="F38" s="4">
        <f>($B$38*F$21+$C$38*F$20+$D$38*F$22)*F$37*$B$2/1000</f>
        <v>-510.44729271900002</v>
      </c>
      <c r="G38" s="4">
        <f t="shared" ref="G38:AA38" si="5">($B$38*G$21+$C$38*G$20+$D$38*G$22)*G$37*$B$2/1000</f>
        <v>-520.43639953499996</v>
      </c>
      <c r="H38" s="4">
        <f t="shared" si="5"/>
        <v>-532.30846622249999</v>
      </c>
      <c r="I38" s="4">
        <f t="shared" si="5"/>
        <v>-545.47323090610018</v>
      </c>
      <c r="J38" s="4">
        <f t="shared" si="5"/>
        <v>-559.54204891230006</v>
      </c>
      <c r="K38" s="4">
        <f t="shared" si="5"/>
        <v>-575.38064399585016</v>
      </c>
      <c r="L38" s="4">
        <f t="shared" si="5"/>
        <v>-594.51041306700006</v>
      </c>
      <c r="M38" s="4">
        <f t="shared" si="5"/>
        <v>-635.13922895730002</v>
      </c>
      <c r="N38" s="4">
        <f t="shared" si="5"/>
        <v>-694.62581974020009</v>
      </c>
      <c r="O38" s="4">
        <f t="shared" si="5"/>
        <v>-756.71547482780011</v>
      </c>
      <c r="P38" s="4">
        <f t="shared" si="5"/>
        <v>-820.64174864400013</v>
      </c>
      <c r="Q38" s="4">
        <f t="shared" si="5"/>
        <v>-886.60755157260007</v>
      </c>
      <c r="R38" s="4">
        <f t="shared" si="5"/>
        <v>-954.55131972980007</v>
      </c>
      <c r="S38" s="4">
        <f t="shared" si="5"/>
        <v>-1241.2434293255499</v>
      </c>
      <c r="T38" s="4">
        <f t="shared" si="5"/>
        <v>-1548.3322346415</v>
      </c>
      <c r="U38" s="4">
        <f t="shared" si="5"/>
        <v>-1868.2017614890001</v>
      </c>
      <c r="V38" s="4">
        <f t="shared" si="5"/>
        <v>-1950.6611422760002</v>
      </c>
      <c r="W38" s="4">
        <f t="shared" si="5"/>
        <v>-2031.6421883340004</v>
      </c>
      <c r="X38" s="4">
        <f t="shared" si="5"/>
        <v>-2114.4239112000005</v>
      </c>
      <c r="Y38" s="4">
        <f t="shared" si="5"/>
        <v>-2195.8933648455004</v>
      </c>
      <c r="Z38" s="4">
        <f t="shared" si="5"/>
        <v>-2521.3622529170002</v>
      </c>
      <c r="AA38" s="4">
        <f t="shared" si="5"/>
        <v>-2840.5449937500002</v>
      </c>
    </row>
    <row r="39" spans="1:51" ht="21" hidden="1" customHeight="1" outlineLevel="1" x14ac:dyDescent="0.35"/>
    <row r="40" spans="1:51" ht="21" hidden="1" customHeight="1" outlineLevel="1" x14ac:dyDescent="0.35"/>
    <row r="41" spans="1:51" ht="21" hidden="1" customHeight="1" outlineLevel="1" thickBot="1" x14ac:dyDescent="0.4">
      <c r="A41" s="12" t="s">
        <v>13</v>
      </c>
      <c r="B41" s="12"/>
      <c r="C41" s="12"/>
      <c r="D41" s="12"/>
    </row>
    <row r="42" spans="1:51" ht="21" hidden="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51" ht="21" hidden="1" customHeight="1" outlineLevel="1" thickTop="1" x14ac:dyDescent="0.35">
      <c r="A43" s="108">
        <v>0.25</v>
      </c>
      <c r="B43" s="30">
        <v>0.15</v>
      </c>
      <c r="C43" s="30">
        <v>0.25</v>
      </c>
      <c r="D43" s="31">
        <v>0.6</v>
      </c>
      <c r="W43" s="1"/>
    </row>
    <row r="44" spans="1:51" ht="21" hidden="1" customHeight="1" outlineLevel="1" x14ac:dyDescent="0.35"/>
    <row r="45" spans="1:51" ht="21" customHeight="1" collapsed="1" thickBot="1" x14ac:dyDescent="0.4">
      <c r="W45" s="1"/>
    </row>
    <row r="46" spans="1:51" ht="21" customHeight="1" thickBot="1" x14ac:dyDescent="0.45">
      <c r="A46" s="59"/>
      <c r="B46" s="59"/>
      <c r="C46" s="59"/>
      <c r="D46" s="59"/>
      <c r="E46" s="61"/>
      <c r="F46" s="58" t="s">
        <v>281</v>
      </c>
      <c r="G46" s="58"/>
      <c r="H46" s="58"/>
      <c r="I46" s="58"/>
      <c r="J46" s="58"/>
      <c r="K46" s="58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</row>
    <row r="47" spans="1:51" ht="21" hidden="1" customHeight="1" outlineLevel="1" thickTop="1" thickBot="1" x14ac:dyDescent="0.4">
      <c r="A47" s="23" t="str">
        <f t="shared" ref="A47:AA47" si="6">A3</f>
        <v>Ar</v>
      </c>
      <c r="B47" s="23" t="str">
        <f t="shared" si="6"/>
        <v>Se</v>
      </c>
      <c r="C47" s="23" t="str">
        <f t="shared" si="6"/>
        <v>Ge</v>
      </c>
      <c r="D47" s="23" t="str">
        <f t="shared" si="6"/>
        <v>Ga</v>
      </c>
      <c r="E47" s="36">
        <f t="shared" si="6"/>
        <v>0</v>
      </c>
      <c r="F47" s="36">
        <f t="shared" si="6"/>
        <v>298.2</v>
      </c>
      <c r="G47" s="36">
        <f t="shared" si="6"/>
        <v>331.5</v>
      </c>
      <c r="H47" s="36">
        <f t="shared" si="6"/>
        <v>364.9</v>
      </c>
      <c r="I47" s="36">
        <f t="shared" si="6"/>
        <v>398.3</v>
      </c>
      <c r="J47" s="36">
        <f t="shared" si="6"/>
        <v>431.7</v>
      </c>
      <c r="K47" s="36">
        <f t="shared" si="6"/>
        <v>465.1</v>
      </c>
      <c r="L47" s="36">
        <f t="shared" si="6"/>
        <v>498.5</v>
      </c>
      <c r="M47" s="36">
        <f t="shared" si="6"/>
        <v>531.79999999999995</v>
      </c>
      <c r="N47" s="36">
        <f t="shared" si="6"/>
        <v>565.20000000000005</v>
      </c>
      <c r="O47" s="36">
        <f t="shared" si="6"/>
        <v>598.6</v>
      </c>
      <c r="P47" s="36">
        <f t="shared" si="6"/>
        <v>632</v>
      </c>
      <c r="Q47" s="36">
        <f t="shared" si="6"/>
        <v>665.4</v>
      </c>
      <c r="R47" s="36">
        <f t="shared" si="6"/>
        <v>698.8</v>
      </c>
      <c r="S47" s="36">
        <f t="shared" si="6"/>
        <v>832.3</v>
      </c>
      <c r="T47" s="36">
        <f t="shared" si="6"/>
        <v>965.8</v>
      </c>
      <c r="U47" s="36">
        <f t="shared" si="6"/>
        <v>1099</v>
      </c>
      <c r="V47" s="36">
        <f t="shared" si="6"/>
        <v>1133</v>
      </c>
      <c r="W47" s="36">
        <f t="shared" si="6"/>
        <v>1166</v>
      </c>
      <c r="X47" s="36">
        <f t="shared" si="6"/>
        <v>1200</v>
      </c>
      <c r="Y47" s="36">
        <f t="shared" si="6"/>
        <v>1233</v>
      </c>
      <c r="Z47" s="36">
        <f t="shared" si="6"/>
        <v>1366</v>
      </c>
      <c r="AA47" s="36">
        <f t="shared" si="6"/>
        <v>1500</v>
      </c>
    </row>
    <row r="48" spans="1:51" ht="21" hidden="1" customHeight="1" outlineLevel="1" thickTop="1" thickBot="1" x14ac:dyDescent="0.4">
      <c r="A48" s="5">
        <f t="shared" ref="A48:E57" si="7">A4</f>
        <v>0</v>
      </c>
      <c r="B48" s="5">
        <f t="shared" si="7"/>
        <v>1</v>
      </c>
      <c r="C48" s="5">
        <f t="shared" si="7"/>
        <v>1</v>
      </c>
      <c r="D48" s="5">
        <f t="shared" si="7"/>
        <v>0</v>
      </c>
      <c r="E48" s="42" t="str">
        <f t="shared" si="7"/>
        <v>*GeSe</v>
      </c>
      <c r="F48" s="46">
        <f>$A48*F$19 + $B48*F$22 + $C48*F$21 + $D48*F$20</f>
        <v>-38.14</v>
      </c>
      <c r="G48" s="46">
        <f t="shared" ref="G48:AA60" si="8">$A48*G$19 + $B48*G$22 + $C48*G$21 + $D48*G$20</f>
        <v>-35.22</v>
      </c>
      <c r="H48" s="46">
        <f t="shared" si="8"/>
        <v>-32.93</v>
      </c>
      <c r="I48" s="46">
        <f t="shared" si="8"/>
        <v>-31.146000000000001</v>
      </c>
      <c r="J48" s="46">
        <f t="shared" si="8"/>
        <v>-29.802</v>
      </c>
      <c r="K48" s="46">
        <f t="shared" si="8"/>
        <v>-29.033000000000001</v>
      </c>
      <c r="L48" s="46">
        <f t="shared" si="8"/>
        <v>-28.966000000000001</v>
      </c>
      <c r="M48" s="46">
        <f t="shared" si="8"/>
        <v>-29.872999999999998</v>
      </c>
      <c r="N48" s="46">
        <f t="shared" si="8"/>
        <v>-30.373000000000001</v>
      </c>
      <c r="O48" s="46">
        <f t="shared" si="8"/>
        <v>-30.934000000000001</v>
      </c>
      <c r="P48" s="46">
        <f t="shared" si="8"/>
        <v>-31.491</v>
      </c>
      <c r="Q48" s="46">
        <f t="shared" si="8"/>
        <v>-32.052</v>
      </c>
      <c r="R48" s="46">
        <f t="shared" si="8"/>
        <v>-32.613</v>
      </c>
      <c r="S48" s="46">
        <f t="shared" si="8"/>
        <v>-34.743000000000002</v>
      </c>
      <c r="T48" s="46">
        <f t="shared" si="8"/>
        <v>-36.765000000000001</v>
      </c>
      <c r="U48" s="46">
        <f t="shared" si="8"/>
        <v>-38.677999999999997</v>
      </c>
      <c r="V48" s="46">
        <f t="shared" si="8"/>
        <v>-39.146000000000001</v>
      </c>
      <c r="W48" s="46">
        <f t="shared" si="8"/>
        <v>-39.602000000000004</v>
      </c>
      <c r="X48" s="46">
        <f t="shared" si="8"/>
        <v>-40.058</v>
      </c>
      <c r="Y48" s="46">
        <f t="shared" si="8"/>
        <v>-40.513000000000005</v>
      </c>
      <c r="Z48" s="46">
        <f t="shared" si="8"/>
        <v>-42.290999999999997</v>
      </c>
      <c r="AA48" s="46">
        <f t="shared" si="8"/>
        <v>-44.015000000000001</v>
      </c>
    </row>
    <row r="49" spans="1:27" ht="21" hidden="1" customHeight="1" outlineLevel="1" thickBot="1" x14ac:dyDescent="0.4">
      <c r="A49" s="5">
        <f t="shared" si="7"/>
        <v>0</v>
      </c>
      <c r="B49" s="5">
        <f t="shared" si="7"/>
        <v>1</v>
      </c>
      <c r="C49" s="5">
        <f t="shared" si="7"/>
        <v>0</v>
      </c>
      <c r="D49" s="5">
        <f t="shared" si="7"/>
        <v>0</v>
      </c>
      <c r="E49" s="42" t="str">
        <f t="shared" si="7"/>
        <v>*Se[m]</v>
      </c>
      <c r="F49" s="46">
        <f t="shared" ref="F49:U64" si="9">$A49*F$19 + $B49*F$22 + $C49*F$21 + $D49*F$20</f>
        <v>-22.14</v>
      </c>
      <c r="G49" s="46">
        <f t="shared" si="9"/>
        <v>-21.3</v>
      </c>
      <c r="H49" s="46">
        <f t="shared" si="9"/>
        <v>-21.39</v>
      </c>
      <c r="I49" s="46">
        <f t="shared" si="9"/>
        <v>-21.8</v>
      </c>
      <c r="J49" s="46">
        <f t="shared" si="9"/>
        <v>-22.19</v>
      </c>
      <c r="K49" s="46">
        <f t="shared" si="9"/>
        <v>-22.48</v>
      </c>
      <c r="L49" s="46">
        <f t="shared" si="9"/>
        <v>-22.79</v>
      </c>
      <c r="M49" s="46">
        <f t="shared" si="9"/>
        <v>-23.04</v>
      </c>
      <c r="N49" s="46">
        <f t="shared" si="9"/>
        <v>-23.53</v>
      </c>
      <c r="O49" s="46">
        <f t="shared" si="9"/>
        <v>-24.03</v>
      </c>
      <c r="P49" s="46">
        <f t="shared" si="9"/>
        <v>-24.51</v>
      </c>
      <c r="Q49" s="46">
        <f t="shared" si="9"/>
        <v>-24.99</v>
      </c>
      <c r="R49" s="46">
        <f t="shared" si="9"/>
        <v>-25.47</v>
      </c>
      <c r="S49" s="46">
        <f t="shared" si="9"/>
        <v>-27.28</v>
      </c>
      <c r="T49" s="46">
        <f t="shared" si="9"/>
        <v>-29</v>
      </c>
      <c r="U49" s="46">
        <f t="shared" si="9"/>
        <v>-30.63</v>
      </c>
      <c r="V49" s="46">
        <f t="shared" si="8"/>
        <v>-31.03</v>
      </c>
      <c r="W49" s="46">
        <f t="shared" si="8"/>
        <v>-31.42</v>
      </c>
      <c r="X49" s="46">
        <f t="shared" si="8"/>
        <v>-31.81</v>
      </c>
      <c r="Y49" s="46">
        <f t="shared" si="8"/>
        <v>-32.200000000000003</v>
      </c>
      <c r="Z49" s="46">
        <f t="shared" si="8"/>
        <v>-33.729999999999997</v>
      </c>
      <c r="AA49" s="46">
        <f t="shared" si="8"/>
        <v>-35.22</v>
      </c>
    </row>
    <row r="50" spans="1:27" ht="21" hidden="1" customHeight="1" outlineLevel="1" thickBot="1" x14ac:dyDescent="0.4">
      <c r="A50" s="5">
        <f t="shared" si="7"/>
        <v>0</v>
      </c>
      <c r="B50" s="5">
        <f t="shared" si="7"/>
        <v>3</v>
      </c>
      <c r="C50" s="5">
        <f t="shared" si="7"/>
        <v>0</v>
      </c>
      <c r="D50" s="5">
        <f t="shared" si="7"/>
        <v>2</v>
      </c>
      <c r="E50" s="42" t="str">
        <f t="shared" si="7"/>
        <v>Ga2Se3</v>
      </c>
      <c r="F50" s="46">
        <f>$A50*F$19 + $B50*F$22 + $C50*F$21 + $D50*F$20</f>
        <v>-188</v>
      </c>
      <c r="G50" s="46">
        <f t="shared" si="8"/>
        <v>-171.54000000000002</v>
      </c>
      <c r="H50" s="46">
        <f t="shared" si="8"/>
        <v>-158.19</v>
      </c>
      <c r="I50" s="46">
        <f t="shared" si="8"/>
        <v>-147.19999999999999</v>
      </c>
      <c r="J50" s="46">
        <f t="shared" si="8"/>
        <v>-137.99</v>
      </c>
      <c r="K50" s="46">
        <f t="shared" si="8"/>
        <v>-130.22</v>
      </c>
      <c r="L50" s="46">
        <f t="shared" si="8"/>
        <v>-123.69</v>
      </c>
      <c r="M50" s="46">
        <f t="shared" si="8"/>
        <v>-122.7</v>
      </c>
      <c r="N50" s="46">
        <f t="shared" si="8"/>
        <v>-126.81</v>
      </c>
      <c r="O50" s="46">
        <f t="shared" si="8"/>
        <v>-130.91</v>
      </c>
      <c r="P50" s="46">
        <f t="shared" si="8"/>
        <v>-134.91</v>
      </c>
      <c r="Q50" s="46">
        <f t="shared" si="8"/>
        <v>-138.85</v>
      </c>
      <c r="R50" s="46">
        <f t="shared" si="8"/>
        <v>-142.72999999999999</v>
      </c>
      <c r="S50" s="46">
        <f t="shared" si="8"/>
        <v>-157.18</v>
      </c>
      <c r="T50" s="46">
        <f t="shared" si="8"/>
        <v>-169.86</v>
      </c>
      <c r="U50" s="46">
        <f t="shared" si="8"/>
        <v>-180.55</v>
      </c>
      <c r="V50" s="46">
        <f t="shared" si="8"/>
        <v>-182.89</v>
      </c>
      <c r="W50" s="46">
        <f t="shared" si="8"/>
        <v>-185.10000000000002</v>
      </c>
      <c r="X50" s="46">
        <f t="shared" si="8"/>
        <v>-187.14999999999998</v>
      </c>
      <c r="Y50" s="46">
        <f t="shared" si="8"/>
        <v>-189.10000000000002</v>
      </c>
      <c r="Z50" s="46">
        <f t="shared" si="8"/>
        <v>-195.41</v>
      </c>
      <c r="AA50" s="46">
        <f t="shared" si="8"/>
        <v>-199.36</v>
      </c>
    </row>
    <row r="51" spans="1:27" ht="21" hidden="1" customHeight="1" outlineLevel="1" thickBot="1" x14ac:dyDescent="0.4">
      <c r="A51" s="5">
        <f t="shared" si="7"/>
        <v>0</v>
      </c>
      <c r="B51" s="5">
        <f t="shared" si="7"/>
        <v>0</v>
      </c>
      <c r="C51" s="5">
        <f t="shared" si="7"/>
        <v>1</v>
      </c>
      <c r="D51" s="5">
        <f t="shared" si="7"/>
        <v>0</v>
      </c>
      <c r="E51" s="42" t="str">
        <f t="shared" si="7"/>
        <v>Ge</v>
      </c>
      <c r="F51" s="46">
        <f t="shared" si="9"/>
        <v>-16</v>
      </c>
      <c r="G51" s="46">
        <f t="shared" si="8"/>
        <v>-13.92</v>
      </c>
      <c r="H51" s="46">
        <f t="shared" si="8"/>
        <v>-11.54</v>
      </c>
      <c r="I51" s="46">
        <f t="shared" si="8"/>
        <v>-9.3460000000000001</v>
      </c>
      <c r="J51" s="46">
        <f t="shared" si="8"/>
        <v>-7.6120000000000001</v>
      </c>
      <c r="K51" s="46">
        <f t="shared" si="8"/>
        <v>-6.5529999999999999</v>
      </c>
      <c r="L51" s="46">
        <f t="shared" si="8"/>
        <v>-6.1760000000000002</v>
      </c>
      <c r="M51" s="46">
        <f t="shared" si="8"/>
        <v>-6.8330000000000002</v>
      </c>
      <c r="N51" s="46">
        <f t="shared" si="8"/>
        <v>-6.843</v>
      </c>
      <c r="O51" s="46">
        <f t="shared" si="8"/>
        <v>-6.9039999999999999</v>
      </c>
      <c r="P51" s="46">
        <f t="shared" si="8"/>
        <v>-6.9809999999999999</v>
      </c>
      <c r="Q51" s="46">
        <f t="shared" si="8"/>
        <v>-7.0620000000000003</v>
      </c>
      <c r="R51" s="46">
        <f t="shared" si="8"/>
        <v>-7.1429999999999998</v>
      </c>
      <c r="S51" s="46">
        <f t="shared" si="8"/>
        <v>-7.4630000000000001</v>
      </c>
      <c r="T51" s="46">
        <f t="shared" si="8"/>
        <v>-7.7649999999999997</v>
      </c>
      <c r="U51" s="46">
        <f t="shared" si="8"/>
        <v>-8.048</v>
      </c>
      <c r="V51" s="46">
        <f t="shared" si="8"/>
        <v>-8.1159999999999997</v>
      </c>
      <c r="W51" s="46">
        <f t="shared" si="8"/>
        <v>-8.1820000000000004</v>
      </c>
      <c r="X51" s="46">
        <f t="shared" si="8"/>
        <v>-8.2479999999999993</v>
      </c>
      <c r="Y51" s="46">
        <f t="shared" si="8"/>
        <v>-8.3130000000000006</v>
      </c>
      <c r="Z51" s="46">
        <f t="shared" si="8"/>
        <v>-8.5609999999999999</v>
      </c>
      <c r="AA51" s="46">
        <f t="shared" si="8"/>
        <v>-8.7949999999999999</v>
      </c>
    </row>
    <row r="52" spans="1:27" ht="21" hidden="1" customHeight="1" outlineLevel="1" thickBot="1" x14ac:dyDescent="0.4">
      <c r="A52" s="5">
        <f t="shared" si="7"/>
        <v>1</v>
      </c>
      <c r="B52" s="5">
        <f t="shared" si="7"/>
        <v>0</v>
      </c>
      <c r="C52" s="5">
        <f t="shared" si="7"/>
        <v>0</v>
      </c>
      <c r="D52" s="5">
        <f t="shared" si="7"/>
        <v>0</v>
      </c>
      <c r="E52" s="42" t="str">
        <f t="shared" si="7"/>
        <v>Ar</v>
      </c>
      <c r="F52" s="46">
        <f t="shared" si="9"/>
        <v>-18.88</v>
      </c>
      <c r="G52" s="46">
        <f t="shared" si="8"/>
        <v>-18.87</v>
      </c>
      <c r="H52" s="46">
        <f t="shared" si="8"/>
        <v>-18.899999999999999</v>
      </c>
      <c r="I52" s="46">
        <f t="shared" si="8"/>
        <v>-18.940000000000001</v>
      </c>
      <c r="J52" s="46">
        <f t="shared" si="8"/>
        <v>-18.989999999999998</v>
      </c>
      <c r="K52" s="46">
        <f t="shared" si="8"/>
        <v>-19.04</v>
      </c>
      <c r="L52" s="46">
        <f t="shared" si="8"/>
        <v>-19.07</v>
      </c>
      <c r="M52" s="46">
        <f t="shared" si="8"/>
        <v>-18.96</v>
      </c>
      <c r="N52" s="46">
        <f t="shared" si="8"/>
        <v>-19.03</v>
      </c>
      <c r="O52" s="46">
        <f t="shared" si="8"/>
        <v>-19.100000000000001</v>
      </c>
      <c r="P52" s="46">
        <f t="shared" si="8"/>
        <v>-19.170000000000002</v>
      </c>
      <c r="Q52" s="46">
        <f t="shared" si="8"/>
        <v>-19.239999999999998</v>
      </c>
      <c r="R52" s="46">
        <f t="shared" si="8"/>
        <v>-19.309999999999999</v>
      </c>
      <c r="S52" s="46">
        <f t="shared" si="8"/>
        <v>-19.57</v>
      </c>
      <c r="T52" s="46">
        <f t="shared" si="8"/>
        <v>-19.82</v>
      </c>
      <c r="U52" s="46">
        <f t="shared" si="8"/>
        <v>-20.05</v>
      </c>
      <c r="V52" s="46">
        <f t="shared" si="8"/>
        <v>-20.11</v>
      </c>
      <c r="W52" s="46">
        <f t="shared" si="8"/>
        <v>-20.16</v>
      </c>
      <c r="X52" s="46">
        <f t="shared" si="8"/>
        <v>-20.21</v>
      </c>
      <c r="Y52" s="46">
        <f t="shared" si="8"/>
        <v>-20.260000000000002</v>
      </c>
      <c r="Z52" s="46">
        <f t="shared" si="8"/>
        <v>-20.46</v>
      </c>
      <c r="AA52" s="46">
        <f t="shared" si="8"/>
        <v>-20.65</v>
      </c>
    </row>
    <row r="53" spans="1:27" ht="21" hidden="1" customHeight="1" outlineLevel="1" thickBot="1" x14ac:dyDescent="0.4">
      <c r="A53" s="5">
        <f t="shared" si="7"/>
        <v>0</v>
      </c>
      <c r="B53" s="5">
        <f t="shared" si="7"/>
        <v>2</v>
      </c>
      <c r="C53" s="5">
        <f t="shared" si="7"/>
        <v>1</v>
      </c>
      <c r="D53" s="5">
        <f t="shared" si="7"/>
        <v>0</v>
      </c>
      <c r="E53" s="42" t="str">
        <f t="shared" si="7"/>
        <v>(l)GeSe2</v>
      </c>
      <c r="F53" s="46">
        <f t="shared" si="9"/>
        <v>-60.28</v>
      </c>
      <c r="G53" s="46">
        <f t="shared" si="8"/>
        <v>-56.52</v>
      </c>
      <c r="H53" s="46">
        <f t="shared" si="8"/>
        <v>-54.32</v>
      </c>
      <c r="I53" s="46">
        <f t="shared" si="8"/>
        <v>-52.945999999999998</v>
      </c>
      <c r="J53" s="46">
        <f t="shared" si="8"/>
        <v>-51.992000000000004</v>
      </c>
      <c r="K53" s="46">
        <f t="shared" si="8"/>
        <v>-51.512999999999998</v>
      </c>
      <c r="L53" s="46">
        <f t="shared" si="8"/>
        <v>-51.756</v>
      </c>
      <c r="M53" s="46">
        <f t="shared" si="8"/>
        <v>-52.912999999999997</v>
      </c>
      <c r="N53" s="46">
        <f t="shared" si="8"/>
        <v>-53.903000000000006</v>
      </c>
      <c r="O53" s="46">
        <f t="shared" si="8"/>
        <v>-54.963999999999999</v>
      </c>
      <c r="P53" s="46">
        <f t="shared" si="8"/>
        <v>-56.001000000000005</v>
      </c>
      <c r="Q53" s="46">
        <f t="shared" si="8"/>
        <v>-57.041999999999994</v>
      </c>
      <c r="R53" s="46">
        <f t="shared" si="8"/>
        <v>-58.082999999999998</v>
      </c>
      <c r="S53" s="46">
        <f t="shared" si="8"/>
        <v>-62.023000000000003</v>
      </c>
      <c r="T53" s="46">
        <f t="shared" si="8"/>
        <v>-65.765000000000001</v>
      </c>
      <c r="U53" s="46">
        <f t="shared" si="8"/>
        <v>-69.307999999999993</v>
      </c>
      <c r="V53" s="46">
        <f t="shared" si="8"/>
        <v>-70.176000000000002</v>
      </c>
      <c r="W53" s="46">
        <f t="shared" si="8"/>
        <v>-71.022000000000006</v>
      </c>
      <c r="X53" s="46">
        <f t="shared" si="8"/>
        <v>-71.867999999999995</v>
      </c>
      <c r="Y53" s="46">
        <f t="shared" si="8"/>
        <v>-72.713000000000008</v>
      </c>
      <c r="Z53" s="46">
        <f t="shared" si="8"/>
        <v>-76.020999999999987</v>
      </c>
      <c r="AA53" s="46">
        <f t="shared" si="8"/>
        <v>-79.234999999999999</v>
      </c>
    </row>
    <row r="54" spans="1:27" ht="21" hidden="1" customHeight="1" outlineLevel="1" thickBot="1" x14ac:dyDescent="0.4">
      <c r="A54" s="5">
        <f t="shared" si="7"/>
        <v>0</v>
      </c>
      <c r="B54" s="5">
        <f t="shared" si="7"/>
        <v>1</v>
      </c>
      <c r="C54" s="5">
        <f t="shared" si="7"/>
        <v>1</v>
      </c>
      <c r="D54" s="5">
        <f t="shared" si="7"/>
        <v>0</v>
      </c>
      <c r="E54" s="42" t="str">
        <f t="shared" si="7"/>
        <v>(l)GeSe</v>
      </c>
      <c r="F54" s="46">
        <f t="shared" si="9"/>
        <v>-38.14</v>
      </c>
      <c r="G54" s="46">
        <f t="shared" si="8"/>
        <v>-35.22</v>
      </c>
      <c r="H54" s="46">
        <f t="shared" si="8"/>
        <v>-32.93</v>
      </c>
      <c r="I54" s="46">
        <f t="shared" si="8"/>
        <v>-31.146000000000001</v>
      </c>
      <c r="J54" s="46">
        <f t="shared" si="8"/>
        <v>-29.802</v>
      </c>
      <c r="K54" s="46">
        <f t="shared" si="8"/>
        <v>-29.033000000000001</v>
      </c>
      <c r="L54" s="46">
        <f t="shared" si="8"/>
        <v>-28.966000000000001</v>
      </c>
      <c r="M54" s="46">
        <f t="shared" si="8"/>
        <v>-29.872999999999998</v>
      </c>
      <c r="N54" s="46">
        <f t="shared" si="8"/>
        <v>-30.373000000000001</v>
      </c>
      <c r="O54" s="46">
        <f t="shared" si="8"/>
        <v>-30.934000000000001</v>
      </c>
      <c r="P54" s="46">
        <f t="shared" si="8"/>
        <v>-31.491</v>
      </c>
      <c r="Q54" s="46">
        <f t="shared" si="8"/>
        <v>-32.052</v>
      </c>
      <c r="R54" s="46">
        <f t="shared" si="8"/>
        <v>-32.613</v>
      </c>
      <c r="S54" s="46">
        <f t="shared" si="8"/>
        <v>-34.743000000000002</v>
      </c>
      <c r="T54" s="46">
        <f t="shared" si="8"/>
        <v>-36.765000000000001</v>
      </c>
      <c r="U54" s="46">
        <f t="shared" si="8"/>
        <v>-38.677999999999997</v>
      </c>
      <c r="V54" s="46">
        <f t="shared" si="8"/>
        <v>-39.146000000000001</v>
      </c>
      <c r="W54" s="46">
        <f t="shared" si="8"/>
        <v>-39.602000000000004</v>
      </c>
      <c r="X54" s="46">
        <f t="shared" si="8"/>
        <v>-40.058</v>
      </c>
      <c r="Y54" s="46">
        <f t="shared" si="8"/>
        <v>-40.513000000000005</v>
      </c>
      <c r="Z54" s="46">
        <f t="shared" si="8"/>
        <v>-42.290999999999997</v>
      </c>
      <c r="AA54" s="46">
        <f t="shared" si="8"/>
        <v>-44.015000000000001</v>
      </c>
    </row>
    <row r="55" spans="1:27" ht="21" hidden="1" customHeight="1" outlineLevel="1" thickBot="1" x14ac:dyDescent="0.4">
      <c r="A55" s="5">
        <f t="shared" si="7"/>
        <v>0</v>
      </c>
      <c r="B55" s="5">
        <f t="shared" si="7"/>
        <v>3</v>
      </c>
      <c r="C55" s="5">
        <f t="shared" si="7"/>
        <v>0</v>
      </c>
      <c r="D55" s="5">
        <f t="shared" si="7"/>
        <v>2</v>
      </c>
      <c r="E55" s="42" t="str">
        <f t="shared" si="7"/>
        <v>(l)Ga2Se3</v>
      </c>
      <c r="F55" s="46">
        <f t="shared" si="9"/>
        <v>-188</v>
      </c>
      <c r="G55" s="46">
        <f t="shared" si="8"/>
        <v>-171.54000000000002</v>
      </c>
      <c r="H55" s="46">
        <f t="shared" si="8"/>
        <v>-158.19</v>
      </c>
      <c r="I55" s="46">
        <f t="shared" si="8"/>
        <v>-147.19999999999999</v>
      </c>
      <c r="J55" s="46">
        <f t="shared" si="8"/>
        <v>-137.99</v>
      </c>
      <c r="K55" s="46">
        <f t="shared" si="8"/>
        <v>-130.22</v>
      </c>
      <c r="L55" s="46">
        <f t="shared" si="8"/>
        <v>-123.69</v>
      </c>
      <c r="M55" s="46">
        <f t="shared" si="8"/>
        <v>-122.7</v>
      </c>
      <c r="N55" s="46">
        <f t="shared" si="8"/>
        <v>-126.81</v>
      </c>
      <c r="O55" s="46">
        <f t="shared" si="8"/>
        <v>-130.91</v>
      </c>
      <c r="P55" s="46">
        <f t="shared" si="8"/>
        <v>-134.91</v>
      </c>
      <c r="Q55" s="46">
        <f t="shared" si="8"/>
        <v>-138.85</v>
      </c>
      <c r="R55" s="46">
        <f t="shared" si="8"/>
        <v>-142.72999999999999</v>
      </c>
      <c r="S55" s="46">
        <f t="shared" si="8"/>
        <v>-157.18</v>
      </c>
      <c r="T55" s="46">
        <f t="shared" si="8"/>
        <v>-169.86</v>
      </c>
      <c r="U55" s="46">
        <f t="shared" si="8"/>
        <v>-180.55</v>
      </c>
      <c r="V55" s="46">
        <f t="shared" si="8"/>
        <v>-182.89</v>
      </c>
      <c r="W55" s="46">
        <f t="shared" si="8"/>
        <v>-185.10000000000002</v>
      </c>
      <c r="X55" s="46">
        <f t="shared" si="8"/>
        <v>-187.14999999999998</v>
      </c>
      <c r="Y55" s="46">
        <f t="shared" si="8"/>
        <v>-189.10000000000002</v>
      </c>
      <c r="Z55" s="46">
        <f t="shared" si="8"/>
        <v>-195.41</v>
      </c>
      <c r="AA55" s="46">
        <f t="shared" si="8"/>
        <v>-199.36</v>
      </c>
    </row>
    <row r="56" spans="1:27" ht="21" hidden="1" customHeight="1" outlineLevel="1" thickBot="1" x14ac:dyDescent="0.4">
      <c r="A56" s="5">
        <f t="shared" si="7"/>
        <v>0</v>
      </c>
      <c r="B56" s="5">
        <f t="shared" si="7"/>
        <v>0</v>
      </c>
      <c r="C56" s="5">
        <f t="shared" si="7"/>
        <v>1</v>
      </c>
      <c r="D56" s="5">
        <f t="shared" si="7"/>
        <v>0</v>
      </c>
      <c r="E56" s="42" t="str">
        <f t="shared" si="7"/>
        <v>(l)Ge</v>
      </c>
      <c r="F56" s="46">
        <f t="shared" si="9"/>
        <v>-16</v>
      </c>
      <c r="G56" s="46">
        <f t="shared" si="8"/>
        <v>-13.92</v>
      </c>
      <c r="H56" s="46">
        <f t="shared" si="8"/>
        <v>-11.54</v>
      </c>
      <c r="I56" s="46">
        <f t="shared" si="8"/>
        <v>-9.3460000000000001</v>
      </c>
      <c r="J56" s="46">
        <f t="shared" si="8"/>
        <v>-7.6120000000000001</v>
      </c>
      <c r="K56" s="46">
        <f t="shared" si="8"/>
        <v>-6.5529999999999999</v>
      </c>
      <c r="L56" s="46">
        <f t="shared" si="8"/>
        <v>-6.1760000000000002</v>
      </c>
      <c r="M56" s="46">
        <f t="shared" si="8"/>
        <v>-6.8330000000000002</v>
      </c>
      <c r="N56" s="46">
        <f t="shared" si="8"/>
        <v>-6.843</v>
      </c>
      <c r="O56" s="46">
        <f t="shared" si="8"/>
        <v>-6.9039999999999999</v>
      </c>
      <c r="P56" s="46">
        <f t="shared" si="8"/>
        <v>-6.9809999999999999</v>
      </c>
      <c r="Q56" s="46">
        <f t="shared" si="8"/>
        <v>-7.0620000000000003</v>
      </c>
      <c r="R56" s="46">
        <f t="shared" si="8"/>
        <v>-7.1429999999999998</v>
      </c>
      <c r="S56" s="46">
        <f t="shared" si="8"/>
        <v>-7.4630000000000001</v>
      </c>
      <c r="T56" s="46">
        <f t="shared" si="8"/>
        <v>-7.7649999999999997</v>
      </c>
      <c r="U56" s="46">
        <f t="shared" si="8"/>
        <v>-8.048</v>
      </c>
      <c r="V56" s="46">
        <f t="shared" si="8"/>
        <v>-8.1159999999999997</v>
      </c>
      <c r="W56" s="46">
        <f t="shared" si="8"/>
        <v>-8.1820000000000004</v>
      </c>
      <c r="X56" s="46">
        <f t="shared" si="8"/>
        <v>-8.2479999999999993</v>
      </c>
      <c r="Y56" s="46">
        <f t="shared" si="8"/>
        <v>-8.3130000000000006</v>
      </c>
      <c r="Z56" s="46">
        <f t="shared" si="8"/>
        <v>-8.5609999999999999</v>
      </c>
      <c r="AA56" s="46">
        <f t="shared" si="8"/>
        <v>-8.7949999999999999</v>
      </c>
    </row>
    <row r="57" spans="1:27" ht="21" hidden="1" customHeight="1" outlineLevel="1" thickBot="1" x14ac:dyDescent="0.4">
      <c r="A57" s="5">
        <f t="shared" si="7"/>
        <v>0</v>
      </c>
      <c r="B57" s="5">
        <f t="shared" si="7"/>
        <v>0</v>
      </c>
      <c r="C57" s="5">
        <f t="shared" si="7"/>
        <v>0</v>
      </c>
      <c r="D57" s="5">
        <f t="shared" si="7"/>
        <v>1</v>
      </c>
      <c r="E57" s="42" t="str">
        <f t="shared" si="7"/>
        <v>(l)Ga</v>
      </c>
      <c r="F57" s="46">
        <f t="shared" si="9"/>
        <v>-60.79</v>
      </c>
      <c r="G57" s="46">
        <f t="shared" si="8"/>
        <v>-53.82</v>
      </c>
      <c r="H57" s="46">
        <f t="shared" si="8"/>
        <v>-47.01</v>
      </c>
      <c r="I57" s="46">
        <f t="shared" si="8"/>
        <v>-40.9</v>
      </c>
      <c r="J57" s="46">
        <f t="shared" si="8"/>
        <v>-35.71</v>
      </c>
      <c r="K57" s="46">
        <f t="shared" si="8"/>
        <v>-31.39</v>
      </c>
      <c r="L57" s="46">
        <f t="shared" si="8"/>
        <v>-27.66</v>
      </c>
      <c r="M57" s="46">
        <f t="shared" si="8"/>
        <v>-26.79</v>
      </c>
      <c r="N57" s="46">
        <f t="shared" si="8"/>
        <v>-28.11</v>
      </c>
      <c r="O57" s="46">
        <f t="shared" si="8"/>
        <v>-29.41</v>
      </c>
      <c r="P57" s="46">
        <f t="shared" si="8"/>
        <v>-30.69</v>
      </c>
      <c r="Q57" s="46">
        <f t="shared" si="8"/>
        <v>-31.94</v>
      </c>
      <c r="R57" s="46">
        <f t="shared" si="8"/>
        <v>-33.159999999999997</v>
      </c>
      <c r="S57" s="46">
        <f t="shared" si="8"/>
        <v>-37.67</v>
      </c>
      <c r="T57" s="46">
        <f t="shared" si="8"/>
        <v>-41.43</v>
      </c>
      <c r="U57" s="46">
        <f t="shared" si="8"/>
        <v>-44.33</v>
      </c>
      <c r="V57" s="46">
        <f t="shared" si="8"/>
        <v>-44.9</v>
      </c>
      <c r="W57" s="46">
        <f t="shared" si="8"/>
        <v>-45.42</v>
      </c>
      <c r="X57" s="46">
        <f t="shared" si="8"/>
        <v>-45.86</v>
      </c>
      <c r="Y57" s="46">
        <f t="shared" si="8"/>
        <v>-46.25</v>
      </c>
      <c r="Z57" s="46">
        <f t="shared" si="8"/>
        <v>-47.11</v>
      </c>
      <c r="AA57" s="46">
        <f t="shared" si="8"/>
        <v>-46.85</v>
      </c>
    </row>
    <row r="58" spans="1:27" ht="21" hidden="1" customHeight="1" outlineLevel="1" thickBot="1" x14ac:dyDescent="0.4">
      <c r="A58" s="5">
        <f t="shared" ref="A58:E67" si="10">A14</f>
        <v>0</v>
      </c>
      <c r="B58" s="5">
        <f t="shared" si="10"/>
        <v>1</v>
      </c>
      <c r="C58" s="5">
        <f t="shared" si="10"/>
        <v>0</v>
      </c>
      <c r="D58" s="5">
        <f t="shared" si="10"/>
        <v>0</v>
      </c>
      <c r="E58" s="42" t="str">
        <f t="shared" si="10"/>
        <v>(l)Se</v>
      </c>
      <c r="F58" s="46">
        <f t="shared" si="9"/>
        <v>-22.14</v>
      </c>
      <c r="G58" s="46">
        <f t="shared" si="8"/>
        <v>-21.3</v>
      </c>
      <c r="H58" s="46">
        <f t="shared" si="8"/>
        <v>-21.39</v>
      </c>
      <c r="I58" s="46">
        <f t="shared" si="8"/>
        <v>-21.8</v>
      </c>
      <c r="J58" s="46">
        <f t="shared" si="8"/>
        <v>-22.19</v>
      </c>
      <c r="K58" s="46">
        <f t="shared" si="8"/>
        <v>-22.48</v>
      </c>
      <c r="L58" s="46">
        <f t="shared" si="8"/>
        <v>-22.79</v>
      </c>
      <c r="M58" s="46">
        <f t="shared" si="8"/>
        <v>-23.04</v>
      </c>
      <c r="N58" s="46">
        <f t="shared" si="8"/>
        <v>-23.53</v>
      </c>
      <c r="O58" s="46">
        <f t="shared" si="8"/>
        <v>-24.03</v>
      </c>
      <c r="P58" s="46">
        <f t="shared" si="8"/>
        <v>-24.51</v>
      </c>
      <c r="Q58" s="46">
        <f t="shared" si="8"/>
        <v>-24.99</v>
      </c>
      <c r="R58" s="46">
        <f t="shared" si="8"/>
        <v>-25.47</v>
      </c>
      <c r="S58" s="46">
        <f t="shared" si="8"/>
        <v>-27.28</v>
      </c>
      <c r="T58" s="46">
        <f t="shared" si="8"/>
        <v>-29</v>
      </c>
      <c r="U58" s="46">
        <f t="shared" si="8"/>
        <v>-30.63</v>
      </c>
      <c r="V58" s="46">
        <f t="shared" si="8"/>
        <v>-31.03</v>
      </c>
      <c r="W58" s="46">
        <f t="shared" si="8"/>
        <v>-31.42</v>
      </c>
      <c r="X58" s="46">
        <f t="shared" si="8"/>
        <v>-31.81</v>
      </c>
      <c r="Y58" s="46">
        <f t="shared" si="8"/>
        <v>-32.200000000000003</v>
      </c>
      <c r="Z58" s="46">
        <f t="shared" si="8"/>
        <v>-33.729999999999997</v>
      </c>
      <c r="AA58" s="46">
        <f t="shared" si="8"/>
        <v>-35.22</v>
      </c>
    </row>
    <row r="59" spans="1:27" ht="21" hidden="1" customHeight="1" outlineLevel="1" thickBot="1" x14ac:dyDescent="0.4">
      <c r="A59" s="5">
        <f t="shared" si="10"/>
        <v>0</v>
      </c>
      <c r="B59" s="5">
        <f t="shared" si="10"/>
        <v>1</v>
      </c>
      <c r="C59" s="5">
        <f t="shared" si="10"/>
        <v>0</v>
      </c>
      <c r="D59" s="5">
        <f t="shared" si="10"/>
        <v>0</v>
      </c>
      <c r="E59" s="42" t="str">
        <f t="shared" si="10"/>
        <v>(l)Se[a]</v>
      </c>
      <c r="F59" s="46">
        <f t="shared" si="9"/>
        <v>-22.14</v>
      </c>
      <c r="G59" s="46">
        <f t="shared" si="8"/>
        <v>-21.3</v>
      </c>
      <c r="H59" s="46">
        <f t="shared" si="8"/>
        <v>-21.39</v>
      </c>
      <c r="I59" s="46">
        <f t="shared" si="8"/>
        <v>-21.8</v>
      </c>
      <c r="J59" s="46">
        <f t="shared" si="8"/>
        <v>-22.19</v>
      </c>
      <c r="K59" s="46">
        <f t="shared" si="8"/>
        <v>-22.48</v>
      </c>
      <c r="L59" s="46">
        <f t="shared" si="8"/>
        <v>-22.79</v>
      </c>
      <c r="M59" s="46">
        <f t="shared" si="8"/>
        <v>-23.04</v>
      </c>
      <c r="N59" s="46">
        <f t="shared" si="8"/>
        <v>-23.53</v>
      </c>
      <c r="O59" s="46">
        <f t="shared" si="8"/>
        <v>-24.03</v>
      </c>
      <c r="P59" s="46">
        <f t="shared" si="8"/>
        <v>-24.51</v>
      </c>
      <c r="Q59" s="46">
        <f t="shared" si="8"/>
        <v>-24.99</v>
      </c>
      <c r="R59" s="46">
        <f t="shared" si="8"/>
        <v>-25.47</v>
      </c>
      <c r="S59" s="46">
        <f t="shared" si="8"/>
        <v>-27.28</v>
      </c>
      <c r="T59" s="46">
        <f t="shared" si="8"/>
        <v>-29</v>
      </c>
      <c r="U59" s="46">
        <f t="shared" si="8"/>
        <v>-30.63</v>
      </c>
      <c r="V59" s="46">
        <f t="shared" si="8"/>
        <v>-31.03</v>
      </c>
      <c r="W59" s="46">
        <f t="shared" si="8"/>
        <v>-31.42</v>
      </c>
      <c r="X59" s="46">
        <f t="shared" si="8"/>
        <v>-31.81</v>
      </c>
      <c r="Y59" s="46">
        <f t="shared" si="8"/>
        <v>-32.200000000000003</v>
      </c>
      <c r="Z59" s="46">
        <f t="shared" si="8"/>
        <v>-33.729999999999997</v>
      </c>
      <c r="AA59" s="46">
        <f t="shared" si="8"/>
        <v>-35.22</v>
      </c>
    </row>
    <row r="60" spans="1:27" ht="21" hidden="1" customHeight="1" outlineLevel="1" thickBot="1" x14ac:dyDescent="0.4">
      <c r="A60" s="5">
        <f t="shared" si="10"/>
        <v>0</v>
      </c>
      <c r="B60" s="5">
        <f t="shared" si="10"/>
        <v>1</v>
      </c>
      <c r="C60" s="5">
        <f t="shared" si="10"/>
        <v>0</v>
      </c>
      <c r="D60" s="5">
        <f t="shared" si="10"/>
        <v>0</v>
      </c>
      <c r="E60" s="42" t="str">
        <f t="shared" si="10"/>
        <v>(l)Se[m]</v>
      </c>
      <c r="F60" s="46">
        <f t="shared" si="9"/>
        <v>-22.14</v>
      </c>
      <c r="G60" s="46">
        <f t="shared" si="8"/>
        <v>-21.3</v>
      </c>
      <c r="H60" s="46">
        <f t="shared" si="8"/>
        <v>-21.39</v>
      </c>
      <c r="I60" s="46">
        <f t="shared" si="8"/>
        <v>-21.8</v>
      </c>
      <c r="J60" s="46">
        <f t="shared" si="8"/>
        <v>-22.19</v>
      </c>
      <c r="K60" s="46">
        <f t="shared" si="8"/>
        <v>-22.48</v>
      </c>
      <c r="L60" s="46">
        <f t="shared" si="8"/>
        <v>-22.79</v>
      </c>
      <c r="M60" s="46">
        <f t="shared" si="8"/>
        <v>-23.04</v>
      </c>
      <c r="N60" s="46">
        <f t="shared" si="8"/>
        <v>-23.53</v>
      </c>
      <c r="O60" s="46">
        <f t="shared" si="8"/>
        <v>-24.03</v>
      </c>
      <c r="P60" s="46">
        <f t="shared" si="8"/>
        <v>-24.51</v>
      </c>
      <c r="Q60" s="46">
        <f t="shared" si="8"/>
        <v>-24.99</v>
      </c>
      <c r="R60" s="46">
        <f t="shared" si="8"/>
        <v>-25.47</v>
      </c>
      <c r="S60" s="46">
        <f t="shared" si="8"/>
        <v>-27.28</v>
      </c>
      <c r="T60" s="46">
        <f t="shared" si="8"/>
        <v>-29</v>
      </c>
      <c r="U60" s="46">
        <f t="shared" si="8"/>
        <v>-30.63</v>
      </c>
      <c r="V60" s="46">
        <f t="shared" si="8"/>
        <v>-31.03</v>
      </c>
      <c r="W60" s="46">
        <f t="shared" si="8"/>
        <v>-31.42</v>
      </c>
      <c r="X60" s="46">
        <f t="shared" si="8"/>
        <v>-31.81</v>
      </c>
      <c r="Y60" s="46">
        <f t="shared" ref="G60:AA66" si="11">$A60*Y$19 + $B60*Y$22 + $C60*Y$21 + $D60*Y$20</f>
        <v>-32.200000000000003</v>
      </c>
      <c r="Z60" s="46">
        <f t="shared" si="11"/>
        <v>-33.729999999999997</v>
      </c>
      <c r="AA60" s="46">
        <f t="shared" si="11"/>
        <v>-35.22</v>
      </c>
    </row>
    <row r="61" spans="1:27" ht="21" hidden="1" customHeight="1" outlineLevel="1" thickBot="1" x14ac:dyDescent="0.4">
      <c r="A61" s="5">
        <f t="shared" si="10"/>
        <v>0</v>
      </c>
      <c r="B61" s="5">
        <f t="shared" si="10"/>
        <v>1</v>
      </c>
      <c r="C61" s="5">
        <f t="shared" si="10"/>
        <v>0</v>
      </c>
      <c r="D61" s="5">
        <f t="shared" si="10"/>
        <v>0</v>
      </c>
      <c r="E61" s="42" t="str">
        <f t="shared" si="10"/>
        <v>(l)Se[r]</v>
      </c>
      <c r="F61" s="46">
        <f t="shared" si="9"/>
        <v>-22.14</v>
      </c>
      <c r="G61" s="46">
        <f t="shared" si="11"/>
        <v>-21.3</v>
      </c>
      <c r="H61" s="46">
        <f t="shared" si="11"/>
        <v>-21.39</v>
      </c>
      <c r="I61" s="46">
        <f t="shared" si="11"/>
        <v>-21.8</v>
      </c>
      <c r="J61" s="46">
        <f t="shared" si="11"/>
        <v>-22.19</v>
      </c>
      <c r="K61" s="46">
        <f t="shared" si="11"/>
        <v>-22.48</v>
      </c>
      <c r="L61" s="46">
        <f t="shared" si="11"/>
        <v>-22.79</v>
      </c>
      <c r="M61" s="46">
        <f t="shared" si="11"/>
        <v>-23.04</v>
      </c>
      <c r="N61" s="46">
        <f t="shared" si="11"/>
        <v>-23.53</v>
      </c>
      <c r="O61" s="46">
        <f t="shared" si="11"/>
        <v>-24.03</v>
      </c>
      <c r="P61" s="46">
        <f t="shared" si="11"/>
        <v>-24.51</v>
      </c>
      <c r="Q61" s="46">
        <f t="shared" si="11"/>
        <v>-24.99</v>
      </c>
      <c r="R61" s="46">
        <f t="shared" si="11"/>
        <v>-25.47</v>
      </c>
      <c r="S61" s="46">
        <f t="shared" si="11"/>
        <v>-27.28</v>
      </c>
      <c r="T61" s="46">
        <f t="shared" si="11"/>
        <v>-29</v>
      </c>
      <c r="U61" s="46">
        <f t="shared" si="11"/>
        <v>-30.63</v>
      </c>
      <c r="V61" s="46">
        <f t="shared" si="11"/>
        <v>-31.03</v>
      </c>
      <c r="W61" s="46">
        <f t="shared" si="11"/>
        <v>-31.42</v>
      </c>
      <c r="X61" s="46">
        <f t="shared" si="11"/>
        <v>-31.81</v>
      </c>
      <c r="Y61" s="46">
        <f t="shared" si="11"/>
        <v>-32.200000000000003</v>
      </c>
      <c r="Z61" s="46">
        <f t="shared" si="11"/>
        <v>-33.729999999999997</v>
      </c>
      <c r="AA61" s="46">
        <f t="shared" si="11"/>
        <v>-35.22</v>
      </c>
    </row>
    <row r="62" spans="1:27" ht="21" hidden="1" customHeight="1" outlineLevel="1" thickBot="1" x14ac:dyDescent="0.4">
      <c r="A62" s="5">
        <f t="shared" si="10"/>
        <v>0</v>
      </c>
      <c r="B62" s="5">
        <f t="shared" si="10"/>
        <v>0</v>
      </c>
      <c r="C62" s="5">
        <f t="shared" si="10"/>
        <v>1</v>
      </c>
      <c r="D62" s="5">
        <f t="shared" si="10"/>
        <v>0</v>
      </c>
      <c r="E62" s="42" t="str">
        <f t="shared" si="10"/>
        <v>(l)Ge[c]</v>
      </c>
      <c r="F62" s="46">
        <f t="shared" si="9"/>
        <v>-16</v>
      </c>
      <c r="G62" s="46">
        <f t="shared" si="11"/>
        <v>-13.92</v>
      </c>
      <c r="H62" s="46">
        <f t="shared" si="11"/>
        <v>-11.54</v>
      </c>
      <c r="I62" s="46">
        <f t="shared" si="11"/>
        <v>-9.3460000000000001</v>
      </c>
      <c r="J62" s="46">
        <f t="shared" si="11"/>
        <v>-7.6120000000000001</v>
      </c>
      <c r="K62" s="46">
        <f t="shared" si="11"/>
        <v>-6.5529999999999999</v>
      </c>
      <c r="L62" s="46">
        <f t="shared" si="11"/>
        <v>-6.1760000000000002</v>
      </c>
      <c r="M62" s="46">
        <f t="shared" si="11"/>
        <v>-6.8330000000000002</v>
      </c>
      <c r="N62" s="46">
        <f t="shared" si="11"/>
        <v>-6.843</v>
      </c>
      <c r="O62" s="46">
        <f t="shared" si="11"/>
        <v>-6.9039999999999999</v>
      </c>
      <c r="P62" s="46">
        <f t="shared" si="11"/>
        <v>-6.9809999999999999</v>
      </c>
      <c r="Q62" s="46">
        <f t="shared" si="11"/>
        <v>-7.0620000000000003</v>
      </c>
      <c r="R62" s="46">
        <f t="shared" si="11"/>
        <v>-7.1429999999999998</v>
      </c>
      <c r="S62" s="46">
        <f t="shared" si="11"/>
        <v>-7.4630000000000001</v>
      </c>
      <c r="T62" s="46">
        <f t="shared" si="11"/>
        <v>-7.7649999999999997</v>
      </c>
      <c r="U62" s="46">
        <f t="shared" si="11"/>
        <v>-8.048</v>
      </c>
      <c r="V62" s="46">
        <f t="shared" si="11"/>
        <v>-8.1159999999999997</v>
      </c>
      <c r="W62" s="46">
        <f t="shared" si="11"/>
        <v>-8.1820000000000004</v>
      </c>
      <c r="X62" s="46">
        <f t="shared" si="11"/>
        <v>-8.2479999999999993</v>
      </c>
      <c r="Y62" s="46">
        <f t="shared" si="11"/>
        <v>-8.3130000000000006</v>
      </c>
      <c r="Z62" s="46">
        <f t="shared" si="11"/>
        <v>-8.5609999999999999</v>
      </c>
      <c r="AA62" s="46">
        <f t="shared" si="11"/>
        <v>-8.7949999999999999</v>
      </c>
    </row>
    <row r="63" spans="1:27" ht="21" hidden="1" customHeight="1" outlineLevel="1" thickBot="1" x14ac:dyDescent="0.4">
      <c r="A63" s="5">
        <f t="shared" si="10"/>
        <v>1</v>
      </c>
      <c r="B63" s="5">
        <f t="shared" si="10"/>
        <v>0</v>
      </c>
      <c r="C63" s="5">
        <f t="shared" si="10"/>
        <v>0</v>
      </c>
      <c r="D63" s="5">
        <f t="shared" si="10"/>
        <v>0</v>
      </c>
      <c r="E63" s="42" t="str">
        <f t="shared" si="10"/>
        <v>H(Ar)</v>
      </c>
      <c r="F63" s="46">
        <f t="shared" si="9"/>
        <v>-18.88</v>
      </c>
      <c r="G63" s="46">
        <f t="shared" si="9"/>
        <v>-18.87</v>
      </c>
      <c r="H63" s="46">
        <f t="shared" si="9"/>
        <v>-18.899999999999999</v>
      </c>
      <c r="I63" s="46">
        <f t="shared" si="9"/>
        <v>-18.940000000000001</v>
      </c>
      <c r="J63" s="46">
        <f t="shared" si="9"/>
        <v>-18.989999999999998</v>
      </c>
      <c r="K63" s="46">
        <f t="shared" si="9"/>
        <v>-19.04</v>
      </c>
      <c r="L63" s="46">
        <f t="shared" si="9"/>
        <v>-19.07</v>
      </c>
      <c r="M63" s="46">
        <f t="shared" si="9"/>
        <v>-18.96</v>
      </c>
      <c r="N63" s="46">
        <f t="shared" si="9"/>
        <v>-19.03</v>
      </c>
      <c r="O63" s="46">
        <f t="shared" si="9"/>
        <v>-19.100000000000001</v>
      </c>
      <c r="P63" s="46">
        <f t="shared" si="9"/>
        <v>-19.170000000000002</v>
      </c>
      <c r="Q63" s="46">
        <f t="shared" si="9"/>
        <v>-19.239999999999998</v>
      </c>
      <c r="R63" s="46">
        <f t="shared" si="9"/>
        <v>-19.309999999999999</v>
      </c>
      <c r="S63" s="46">
        <f t="shared" si="9"/>
        <v>-19.57</v>
      </c>
      <c r="T63" s="46">
        <f t="shared" si="9"/>
        <v>-19.82</v>
      </c>
      <c r="U63" s="46">
        <f t="shared" si="9"/>
        <v>-20.05</v>
      </c>
      <c r="V63" s="46">
        <f t="shared" si="11"/>
        <v>-20.11</v>
      </c>
      <c r="W63" s="46">
        <f t="shared" si="11"/>
        <v>-20.16</v>
      </c>
      <c r="X63" s="46">
        <f t="shared" si="11"/>
        <v>-20.21</v>
      </c>
      <c r="Y63" s="46">
        <f t="shared" si="11"/>
        <v>-20.260000000000002</v>
      </c>
      <c r="Z63" s="46">
        <f t="shared" si="11"/>
        <v>-20.46</v>
      </c>
      <c r="AA63" s="46">
        <f t="shared" si="11"/>
        <v>-20.65</v>
      </c>
    </row>
    <row r="64" spans="1:27" ht="21" hidden="1" customHeight="1" outlineLevel="1" thickBot="1" x14ac:dyDescent="0.4">
      <c r="A64" s="5">
        <f t="shared" si="10"/>
        <v>0</v>
      </c>
      <c r="B64" s="5">
        <f t="shared" si="10"/>
        <v>0</v>
      </c>
      <c r="C64" s="5">
        <f t="shared" si="10"/>
        <v>0</v>
      </c>
      <c r="D64" s="5">
        <f t="shared" si="10"/>
        <v>1</v>
      </c>
      <c r="E64" s="42" t="str">
        <f t="shared" si="10"/>
        <v>H(Ga)</v>
      </c>
      <c r="F64" s="46">
        <f t="shared" si="9"/>
        <v>-60.79</v>
      </c>
      <c r="G64" s="46">
        <f t="shared" si="9"/>
        <v>-53.82</v>
      </c>
      <c r="H64" s="46">
        <f t="shared" si="9"/>
        <v>-47.01</v>
      </c>
      <c r="I64" s="46">
        <f t="shared" si="9"/>
        <v>-40.9</v>
      </c>
      <c r="J64" s="46">
        <f t="shared" si="9"/>
        <v>-35.71</v>
      </c>
      <c r="K64" s="46">
        <f t="shared" si="9"/>
        <v>-31.39</v>
      </c>
      <c r="L64" s="46">
        <f t="shared" si="9"/>
        <v>-27.66</v>
      </c>
      <c r="M64" s="46">
        <f t="shared" si="9"/>
        <v>-26.79</v>
      </c>
      <c r="N64" s="46">
        <f t="shared" si="9"/>
        <v>-28.11</v>
      </c>
      <c r="O64" s="46">
        <f t="shared" si="9"/>
        <v>-29.41</v>
      </c>
      <c r="P64" s="46">
        <f t="shared" si="9"/>
        <v>-30.69</v>
      </c>
      <c r="Q64" s="46">
        <f t="shared" si="9"/>
        <v>-31.94</v>
      </c>
      <c r="R64" s="46">
        <f t="shared" si="9"/>
        <v>-33.159999999999997</v>
      </c>
      <c r="S64" s="46">
        <f t="shared" si="9"/>
        <v>-37.67</v>
      </c>
      <c r="T64" s="46">
        <f t="shared" si="9"/>
        <v>-41.43</v>
      </c>
      <c r="U64" s="46">
        <f t="shared" si="9"/>
        <v>-44.33</v>
      </c>
      <c r="V64" s="46">
        <f t="shared" si="11"/>
        <v>-44.9</v>
      </c>
      <c r="W64" s="46">
        <f t="shared" si="11"/>
        <v>-45.42</v>
      </c>
      <c r="X64" s="46">
        <f t="shared" si="11"/>
        <v>-45.86</v>
      </c>
      <c r="Y64" s="46">
        <f t="shared" si="11"/>
        <v>-46.25</v>
      </c>
      <c r="Z64" s="46">
        <f t="shared" si="11"/>
        <v>-47.11</v>
      </c>
      <c r="AA64" s="46">
        <f t="shared" si="11"/>
        <v>-46.85</v>
      </c>
    </row>
    <row r="65" spans="1:27" ht="21" hidden="1" customHeight="1" outlineLevel="1" thickBot="1" x14ac:dyDescent="0.4">
      <c r="A65" s="5">
        <f t="shared" si="10"/>
        <v>0</v>
      </c>
      <c r="B65" s="5">
        <f t="shared" si="10"/>
        <v>0</v>
      </c>
      <c r="C65" s="5">
        <f t="shared" si="10"/>
        <v>1</v>
      </c>
      <c r="D65" s="5">
        <f t="shared" si="10"/>
        <v>0</v>
      </c>
      <c r="E65" s="42" t="str">
        <f t="shared" si="10"/>
        <v>H(Ge)</v>
      </c>
      <c r="F65" s="46">
        <f t="shared" ref="F65:U66" si="12">$A65*F$19 + $B65*F$22 + $C65*F$21 + $D65*F$20</f>
        <v>-16</v>
      </c>
      <c r="G65" s="46">
        <f t="shared" si="12"/>
        <v>-13.92</v>
      </c>
      <c r="H65" s="46">
        <f t="shared" si="12"/>
        <v>-11.54</v>
      </c>
      <c r="I65" s="46">
        <f t="shared" si="12"/>
        <v>-9.3460000000000001</v>
      </c>
      <c r="J65" s="46">
        <f t="shared" si="12"/>
        <v>-7.6120000000000001</v>
      </c>
      <c r="K65" s="46">
        <f t="shared" si="12"/>
        <v>-6.5529999999999999</v>
      </c>
      <c r="L65" s="46">
        <f t="shared" si="12"/>
        <v>-6.1760000000000002</v>
      </c>
      <c r="M65" s="46">
        <f t="shared" si="12"/>
        <v>-6.8330000000000002</v>
      </c>
      <c r="N65" s="46">
        <f t="shared" si="12"/>
        <v>-6.843</v>
      </c>
      <c r="O65" s="46">
        <f t="shared" si="12"/>
        <v>-6.9039999999999999</v>
      </c>
      <c r="P65" s="46">
        <f t="shared" si="12"/>
        <v>-6.9809999999999999</v>
      </c>
      <c r="Q65" s="46">
        <f t="shared" si="12"/>
        <v>-7.0620000000000003</v>
      </c>
      <c r="R65" s="46">
        <f t="shared" si="12"/>
        <v>-7.1429999999999998</v>
      </c>
      <c r="S65" s="46">
        <f t="shared" si="12"/>
        <v>-7.4630000000000001</v>
      </c>
      <c r="T65" s="46">
        <f t="shared" si="12"/>
        <v>-7.7649999999999997</v>
      </c>
      <c r="U65" s="46">
        <f t="shared" si="12"/>
        <v>-8.048</v>
      </c>
      <c r="V65" s="46">
        <f t="shared" si="11"/>
        <v>-8.1159999999999997</v>
      </c>
      <c r="W65" s="46">
        <f t="shared" si="11"/>
        <v>-8.1820000000000004</v>
      </c>
      <c r="X65" s="46">
        <f t="shared" si="11"/>
        <v>-8.2479999999999993</v>
      </c>
      <c r="Y65" s="46">
        <f t="shared" si="11"/>
        <v>-8.3130000000000006</v>
      </c>
      <c r="Z65" s="46">
        <f t="shared" si="11"/>
        <v>-8.5609999999999999</v>
      </c>
      <c r="AA65" s="46">
        <f t="shared" si="11"/>
        <v>-8.7949999999999999</v>
      </c>
    </row>
    <row r="66" spans="1:27" ht="21" hidden="1" customHeight="1" outlineLevel="1" thickBot="1" x14ac:dyDescent="0.4">
      <c r="A66" s="5">
        <f t="shared" si="10"/>
        <v>0</v>
      </c>
      <c r="B66" s="5">
        <f t="shared" si="10"/>
        <v>1</v>
      </c>
      <c r="C66" s="5">
        <f t="shared" si="10"/>
        <v>0</v>
      </c>
      <c r="D66" s="5">
        <f t="shared" si="10"/>
        <v>0</v>
      </c>
      <c r="E66" s="42" t="str">
        <f t="shared" si="10"/>
        <v>H(Se)</v>
      </c>
      <c r="F66" s="46">
        <f t="shared" si="12"/>
        <v>-22.14</v>
      </c>
      <c r="G66" s="46">
        <f t="shared" si="12"/>
        <v>-21.3</v>
      </c>
      <c r="H66" s="46">
        <f t="shared" si="12"/>
        <v>-21.39</v>
      </c>
      <c r="I66" s="46">
        <f t="shared" si="12"/>
        <v>-21.8</v>
      </c>
      <c r="J66" s="46">
        <f t="shared" si="12"/>
        <v>-22.19</v>
      </c>
      <c r="K66" s="46">
        <f t="shared" si="12"/>
        <v>-22.48</v>
      </c>
      <c r="L66" s="46">
        <f t="shared" si="12"/>
        <v>-22.79</v>
      </c>
      <c r="M66" s="46">
        <f t="shared" si="12"/>
        <v>-23.04</v>
      </c>
      <c r="N66" s="46">
        <f t="shared" si="12"/>
        <v>-23.53</v>
      </c>
      <c r="O66" s="46">
        <f t="shared" si="12"/>
        <v>-24.03</v>
      </c>
      <c r="P66" s="46">
        <f t="shared" si="12"/>
        <v>-24.51</v>
      </c>
      <c r="Q66" s="46">
        <f t="shared" si="12"/>
        <v>-24.99</v>
      </c>
      <c r="R66" s="46">
        <f t="shared" si="12"/>
        <v>-25.47</v>
      </c>
      <c r="S66" s="46">
        <f t="shared" si="12"/>
        <v>-27.28</v>
      </c>
      <c r="T66" s="46">
        <f t="shared" si="12"/>
        <v>-29</v>
      </c>
      <c r="U66" s="46">
        <f t="shared" si="12"/>
        <v>-30.63</v>
      </c>
      <c r="V66" s="46">
        <f t="shared" si="11"/>
        <v>-31.03</v>
      </c>
      <c r="W66" s="46">
        <f t="shared" si="11"/>
        <v>-31.42</v>
      </c>
      <c r="X66" s="46">
        <f t="shared" si="11"/>
        <v>-31.81</v>
      </c>
      <c r="Y66" s="46">
        <f t="shared" si="11"/>
        <v>-32.200000000000003</v>
      </c>
      <c r="Z66" s="46">
        <f t="shared" si="11"/>
        <v>-33.729999999999997</v>
      </c>
      <c r="AA66" s="46">
        <f t="shared" si="11"/>
        <v>-35.22</v>
      </c>
    </row>
    <row r="67" spans="1:27" ht="21" hidden="1" customHeight="1" outlineLevel="1" thickBot="1" x14ac:dyDescent="0.4">
      <c r="A67" s="5">
        <f t="shared" si="10"/>
        <v>0</v>
      </c>
      <c r="B67" s="5">
        <f t="shared" si="10"/>
        <v>0</v>
      </c>
      <c r="C67" s="5">
        <f t="shared" si="10"/>
        <v>0</v>
      </c>
      <c r="D67" s="5">
        <f t="shared" si="10"/>
        <v>0</v>
      </c>
      <c r="E67" s="42">
        <f t="shared" si="10"/>
        <v>0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</row>
    <row r="68" spans="1:27" ht="21" hidden="1" customHeight="1" outlineLevel="1" thickBot="1" x14ac:dyDescent="0.4">
      <c r="A68" s="5">
        <f t="shared" ref="A68:E77" si="13">A24</f>
        <v>0</v>
      </c>
      <c r="B68" s="5">
        <f t="shared" si="13"/>
        <v>0</v>
      </c>
      <c r="C68" s="5">
        <f t="shared" si="13"/>
        <v>0</v>
      </c>
      <c r="D68" s="5">
        <f t="shared" si="13"/>
        <v>0</v>
      </c>
      <c r="E68" s="42">
        <f t="shared" si="13"/>
        <v>0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</row>
    <row r="69" spans="1:27" ht="21" hidden="1" customHeight="1" outlineLevel="1" thickBot="1" x14ac:dyDescent="0.4">
      <c r="A69" s="5">
        <f t="shared" si="13"/>
        <v>0</v>
      </c>
      <c r="B69" s="5">
        <f t="shared" si="13"/>
        <v>0</v>
      </c>
      <c r="C69" s="5">
        <f t="shared" si="13"/>
        <v>0</v>
      </c>
      <c r="D69" s="5">
        <f t="shared" si="13"/>
        <v>0</v>
      </c>
      <c r="E69" s="42">
        <f t="shared" si="13"/>
        <v>0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</row>
    <row r="70" spans="1:27" ht="21" hidden="1" customHeight="1" outlineLevel="1" thickBot="1" x14ac:dyDescent="0.4">
      <c r="A70" s="5">
        <f t="shared" si="13"/>
        <v>0</v>
      </c>
      <c r="B70" s="5">
        <f t="shared" si="13"/>
        <v>0</v>
      </c>
      <c r="C70" s="5">
        <f t="shared" si="13"/>
        <v>0</v>
      </c>
      <c r="D70" s="5">
        <f t="shared" si="13"/>
        <v>0</v>
      </c>
      <c r="E70" s="42">
        <f t="shared" si="13"/>
        <v>0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</row>
    <row r="71" spans="1:27" ht="21" hidden="1" customHeight="1" outlineLevel="1" thickBot="1" x14ac:dyDescent="0.4">
      <c r="A71" s="5">
        <f t="shared" si="13"/>
        <v>0</v>
      </c>
      <c r="B71" s="5">
        <f t="shared" si="13"/>
        <v>0</v>
      </c>
      <c r="C71" s="5">
        <f t="shared" si="13"/>
        <v>0</v>
      </c>
      <c r="D71" s="5">
        <f t="shared" si="13"/>
        <v>0</v>
      </c>
      <c r="E71" s="42">
        <f t="shared" si="13"/>
        <v>0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</row>
    <row r="72" spans="1:27" ht="21" hidden="1" customHeight="1" outlineLevel="1" thickBot="1" x14ac:dyDescent="0.4">
      <c r="A72" s="5">
        <f t="shared" si="13"/>
        <v>0</v>
      </c>
      <c r="B72" s="5">
        <f t="shared" si="13"/>
        <v>0</v>
      </c>
      <c r="C72" s="5">
        <f t="shared" si="13"/>
        <v>0</v>
      </c>
      <c r="D72" s="5">
        <f t="shared" si="13"/>
        <v>0</v>
      </c>
      <c r="E72" s="42">
        <f t="shared" si="13"/>
        <v>0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</row>
    <row r="73" spans="1:27" ht="21" hidden="1" customHeight="1" outlineLevel="1" thickBot="1" x14ac:dyDescent="0.4">
      <c r="A73" s="5">
        <f t="shared" si="13"/>
        <v>0</v>
      </c>
      <c r="B73" s="5">
        <f t="shared" si="13"/>
        <v>0</v>
      </c>
      <c r="C73" s="5">
        <f t="shared" si="13"/>
        <v>0</v>
      </c>
      <c r="D73" s="5">
        <f t="shared" si="13"/>
        <v>0</v>
      </c>
      <c r="E73" s="42">
        <f t="shared" si="13"/>
        <v>0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</row>
    <row r="74" spans="1:27" ht="21" hidden="1" customHeight="1" outlineLevel="1" thickBot="1" x14ac:dyDescent="0.4">
      <c r="A74" s="5">
        <f t="shared" si="13"/>
        <v>0</v>
      </c>
      <c r="B74" s="5">
        <f t="shared" si="13"/>
        <v>0</v>
      </c>
      <c r="C74" s="5">
        <f t="shared" si="13"/>
        <v>0</v>
      </c>
      <c r="D74" s="5">
        <f t="shared" si="13"/>
        <v>0</v>
      </c>
      <c r="E74" s="42">
        <f t="shared" si="13"/>
        <v>0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</row>
    <row r="75" spans="1:27" ht="21" hidden="1" customHeight="1" outlineLevel="1" thickBot="1" x14ac:dyDescent="0.4">
      <c r="A75" s="5">
        <f t="shared" si="13"/>
        <v>0</v>
      </c>
      <c r="B75" s="5">
        <f t="shared" si="13"/>
        <v>0</v>
      </c>
      <c r="C75" s="5">
        <f t="shared" si="13"/>
        <v>0</v>
      </c>
      <c r="D75" s="5">
        <f t="shared" si="13"/>
        <v>0</v>
      </c>
      <c r="E75" s="42">
        <f t="shared" si="13"/>
        <v>0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</row>
    <row r="76" spans="1:27" ht="21" hidden="1" customHeight="1" outlineLevel="1" thickBot="1" x14ac:dyDescent="0.4">
      <c r="A76" s="5">
        <f t="shared" si="13"/>
        <v>0</v>
      </c>
      <c r="B76" s="5">
        <f t="shared" si="13"/>
        <v>0</v>
      </c>
      <c r="C76" s="5">
        <f t="shared" si="13"/>
        <v>0</v>
      </c>
      <c r="D76" s="5">
        <f t="shared" si="13"/>
        <v>0</v>
      </c>
      <c r="E76" s="42">
        <f t="shared" si="13"/>
        <v>0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</row>
    <row r="77" spans="1:27" ht="21" hidden="1" customHeight="1" outlineLevel="1" thickBot="1" x14ac:dyDescent="0.4">
      <c r="A77" s="5">
        <f t="shared" si="13"/>
        <v>0</v>
      </c>
      <c r="B77" s="5">
        <f t="shared" si="13"/>
        <v>0</v>
      </c>
      <c r="C77" s="5">
        <f t="shared" si="13"/>
        <v>0</v>
      </c>
      <c r="D77" s="5">
        <f t="shared" si="13"/>
        <v>0</v>
      </c>
      <c r="E77" s="42">
        <f t="shared" si="13"/>
        <v>1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</row>
    <row r="78" spans="1:27" ht="21" hidden="1" customHeight="1" outlineLevel="1" x14ac:dyDescent="0.35"/>
    <row r="79" spans="1:27" ht="21" customHeight="1" collapsed="1" thickBot="1" x14ac:dyDescent="0.4">
      <c r="W79" s="1"/>
    </row>
    <row r="80" spans="1:27" ht="21" customHeight="1" thickBot="1" x14ac:dyDescent="0.45">
      <c r="A80" s="46"/>
      <c r="B80" s="46"/>
      <c r="C80" s="2">
        <f>E38</f>
        <v>8.3333333333333339</v>
      </c>
      <c r="D80" s="46"/>
      <c r="E80" s="61"/>
      <c r="F80" s="58" t="s">
        <v>278</v>
      </c>
      <c r="G80" s="58"/>
      <c r="H80" s="58"/>
      <c r="I80" s="58"/>
      <c r="J80" s="58"/>
      <c r="K80" s="58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</row>
    <row r="81" spans="1:27" ht="21" hidden="1" customHeight="1" outlineLevel="1" thickTop="1" thickBot="1" x14ac:dyDescent="0.4">
      <c r="A81" s="23" t="str">
        <f t="shared" ref="A81:AA81" si="14">A3</f>
        <v>Ar</v>
      </c>
      <c r="B81" s="23" t="str">
        <f t="shared" si="14"/>
        <v>Se</v>
      </c>
      <c r="C81" s="23" t="str">
        <f t="shared" si="14"/>
        <v>Ge</v>
      </c>
      <c r="D81" s="23" t="str">
        <f t="shared" si="14"/>
        <v>Ga</v>
      </c>
      <c r="E81" s="36">
        <f t="shared" si="14"/>
        <v>0</v>
      </c>
      <c r="F81" s="36">
        <f t="shared" si="14"/>
        <v>298.2</v>
      </c>
      <c r="G81" s="36">
        <f t="shared" si="14"/>
        <v>331.5</v>
      </c>
      <c r="H81" s="36">
        <f t="shared" si="14"/>
        <v>364.9</v>
      </c>
      <c r="I81" s="36">
        <f t="shared" si="14"/>
        <v>398.3</v>
      </c>
      <c r="J81" s="36">
        <f t="shared" si="14"/>
        <v>431.7</v>
      </c>
      <c r="K81" s="36">
        <f t="shared" si="14"/>
        <v>465.1</v>
      </c>
      <c r="L81" s="36">
        <f t="shared" si="14"/>
        <v>498.5</v>
      </c>
      <c r="M81" s="36">
        <f t="shared" si="14"/>
        <v>531.79999999999995</v>
      </c>
      <c r="N81" s="36">
        <f t="shared" si="14"/>
        <v>565.20000000000005</v>
      </c>
      <c r="O81" s="36">
        <f t="shared" si="14"/>
        <v>598.6</v>
      </c>
      <c r="P81" s="36">
        <f t="shared" si="14"/>
        <v>632</v>
      </c>
      <c r="Q81" s="36">
        <f t="shared" si="14"/>
        <v>665.4</v>
      </c>
      <c r="R81" s="36">
        <f t="shared" si="14"/>
        <v>698.8</v>
      </c>
      <c r="S81" s="36">
        <f t="shared" si="14"/>
        <v>832.3</v>
      </c>
      <c r="T81" s="36">
        <f t="shared" si="14"/>
        <v>965.8</v>
      </c>
      <c r="U81" s="36">
        <f t="shared" si="14"/>
        <v>1099</v>
      </c>
      <c r="V81" s="36">
        <f t="shared" si="14"/>
        <v>1133</v>
      </c>
      <c r="W81" s="36">
        <f t="shared" si="14"/>
        <v>1166</v>
      </c>
      <c r="X81" s="36">
        <f t="shared" si="14"/>
        <v>1200</v>
      </c>
      <c r="Y81" s="36">
        <f t="shared" si="14"/>
        <v>1233</v>
      </c>
      <c r="Z81" s="36">
        <f t="shared" si="14"/>
        <v>1366</v>
      </c>
      <c r="AA81" s="36">
        <f t="shared" si="14"/>
        <v>1500</v>
      </c>
    </row>
    <row r="82" spans="1:27" ht="21" hidden="1" customHeight="1" outlineLevel="1" thickTop="1" thickBot="1" x14ac:dyDescent="0.4">
      <c r="A82" s="5">
        <f t="shared" ref="A82:E91" si="15">A4</f>
        <v>0</v>
      </c>
      <c r="B82" s="5">
        <f t="shared" si="15"/>
        <v>1</v>
      </c>
      <c r="C82" s="5">
        <f t="shared" si="15"/>
        <v>1</v>
      </c>
      <c r="D82" s="5">
        <f t="shared" si="15"/>
        <v>0</v>
      </c>
      <c r="E82" s="42" t="str">
        <f t="shared" si="15"/>
        <v>*GeSe</v>
      </c>
      <c r="F82" s="46">
        <f t="shared" ref="F82:AA82" si="16">F4*$C$80</f>
        <v>2.8438333333333336E-8</v>
      </c>
      <c r="G82" s="46">
        <f t="shared" si="16"/>
        <v>5.747583333333334E-8</v>
      </c>
      <c r="H82" s="46">
        <f t="shared" si="16"/>
        <v>1.0210000000000001E-7</v>
      </c>
      <c r="I82" s="46">
        <f t="shared" si="16"/>
        <v>8.2030833333333344E-8</v>
      </c>
      <c r="J82" s="46">
        <f t="shared" si="16"/>
        <v>5.9107500000000002E-8</v>
      </c>
      <c r="K82" s="46">
        <f t="shared" si="16"/>
        <v>1.2092500000000002E-10</v>
      </c>
      <c r="L82" s="46">
        <f t="shared" si="16"/>
        <v>6.4722500000000006E-22</v>
      </c>
      <c r="M82" s="46">
        <f t="shared" si="16"/>
        <v>0</v>
      </c>
      <c r="N82" s="46">
        <f t="shared" si="16"/>
        <v>0</v>
      </c>
      <c r="O82" s="46">
        <f t="shared" si="16"/>
        <v>0</v>
      </c>
      <c r="P82" s="46">
        <f t="shared" si="16"/>
        <v>0</v>
      </c>
      <c r="Q82" s="46">
        <f t="shared" si="16"/>
        <v>0</v>
      </c>
      <c r="R82" s="46">
        <f t="shared" si="16"/>
        <v>0</v>
      </c>
      <c r="S82" s="46">
        <f t="shared" si="16"/>
        <v>0</v>
      </c>
      <c r="T82" s="46">
        <f t="shared" si="16"/>
        <v>0</v>
      </c>
      <c r="U82" s="46">
        <f t="shared" si="16"/>
        <v>0</v>
      </c>
      <c r="V82" s="46">
        <f t="shared" si="16"/>
        <v>0</v>
      </c>
      <c r="W82" s="46">
        <f t="shared" si="16"/>
        <v>0</v>
      </c>
      <c r="X82" s="46">
        <f t="shared" si="16"/>
        <v>0</v>
      </c>
      <c r="Y82" s="46">
        <f t="shared" si="16"/>
        <v>0</v>
      </c>
      <c r="Z82" s="46">
        <f t="shared" si="16"/>
        <v>0</v>
      </c>
      <c r="AA82" s="46">
        <f t="shared" si="16"/>
        <v>0</v>
      </c>
    </row>
    <row r="83" spans="1:27" ht="21" hidden="1" customHeight="1" outlineLevel="1" thickBot="1" x14ac:dyDescent="0.4">
      <c r="A83" s="5">
        <f t="shared" si="15"/>
        <v>0</v>
      </c>
      <c r="B83" s="5">
        <f t="shared" si="15"/>
        <v>1</v>
      </c>
      <c r="C83" s="5">
        <f t="shared" si="15"/>
        <v>0</v>
      </c>
      <c r="D83" s="5">
        <f t="shared" si="15"/>
        <v>0</v>
      </c>
      <c r="E83" s="42" t="str">
        <f t="shared" si="15"/>
        <v>*Se[m]</v>
      </c>
      <c r="F83" s="46">
        <f t="shared" ref="F83:AA83" si="17">F5*$C$80</f>
        <v>6.3347500000000005E-30</v>
      </c>
      <c r="G83" s="46">
        <f t="shared" si="17"/>
        <v>2.4218333333333334E-20</v>
      </c>
      <c r="H83" s="46">
        <f t="shared" si="17"/>
        <v>1.0139166666666667E-16</v>
      </c>
      <c r="I83" s="46">
        <f t="shared" si="17"/>
        <v>2.8833333333333334E-15</v>
      </c>
      <c r="J83" s="46">
        <f t="shared" si="17"/>
        <v>5.9997500000000006E-12</v>
      </c>
      <c r="K83" s="46">
        <f t="shared" si="17"/>
        <v>1.2604166666666668E-8</v>
      </c>
      <c r="L83" s="46">
        <f t="shared" si="17"/>
        <v>5.9860000000000008E-8</v>
      </c>
      <c r="M83" s="46">
        <f t="shared" si="17"/>
        <v>2.2970000000000003E-7</v>
      </c>
      <c r="N83" s="46">
        <f t="shared" si="17"/>
        <v>1.8138333333333335E-7</v>
      </c>
      <c r="O83" s="46">
        <f t="shared" si="17"/>
        <v>1.972166666666667E-7</v>
      </c>
      <c r="P83" s="46">
        <f t="shared" si="17"/>
        <v>2.0085833333333335E-7</v>
      </c>
      <c r="Q83" s="46">
        <f t="shared" si="17"/>
        <v>1.9997500000000002E-7</v>
      </c>
      <c r="R83" s="46">
        <f t="shared" si="17"/>
        <v>1.9782500000000001E-7</v>
      </c>
      <c r="S83" s="46">
        <f t="shared" si="17"/>
        <v>1.8315833333333335E-7</v>
      </c>
      <c r="T83" s="46">
        <f t="shared" si="17"/>
        <v>1.7663333333333333E-7</v>
      </c>
      <c r="U83" s="46">
        <f t="shared" si="17"/>
        <v>1.7645833333333335E-7</v>
      </c>
      <c r="V83" s="46">
        <f t="shared" si="17"/>
        <v>1.7638333333333334E-7</v>
      </c>
      <c r="W83" s="46">
        <f t="shared" si="17"/>
        <v>1.7629166666666669E-7</v>
      </c>
      <c r="X83" s="46">
        <f t="shared" si="17"/>
        <v>1.7677500000000002E-7</v>
      </c>
      <c r="Y83" s="46">
        <f t="shared" si="17"/>
        <v>1.7730833333333333E-7</v>
      </c>
      <c r="Z83" s="46">
        <f t="shared" si="17"/>
        <v>1.7968333333333335E-7</v>
      </c>
      <c r="AA83" s="46">
        <f t="shared" si="17"/>
        <v>1.8242500000000002E-7</v>
      </c>
    </row>
    <row r="84" spans="1:27" ht="21" hidden="1" customHeight="1" outlineLevel="1" thickBot="1" x14ac:dyDescent="0.4">
      <c r="A84" s="5">
        <f t="shared" si="15"/>
        <v>0</v>
      </c>
      <c r="B84" s="5">
        <f t="shared" si="15"/>
        <v>3</v>
      </c>
      <c r="C84" s="5">
        <f t="shared" si="15"/>
        <v>0</v>
      </c>
      <c r="D84" s="5">
        <f t="shared" si="15"/>
        <v>2</v>
      </c>
      <c r="E84" s="42" t="str">
        <f t="shared" si="15"/>
        <v>Ga2Se3</v>
      </c>
      <c r="F84" s="46">
        <f t="shared" ref="F84:AA84" si="18">F6*$C$80</f>
        <v>0.50882500000000008</v>
      </c>
      <c r="G84" s="46">
        <f t="shared" si="18"/>
        <v>0.47363333333333335</v>
      </c>
      <c r="H84" s="46">
        <f t="shared" si="18"/>
        <v>0.44723333333333337</v>
      </c>
      <c r="I84" s="46">
        <f t="shared" si="18"/>
        <v>0.43831666666666669</v>
      </c>
      <c r="J84" s="46">
        <f t="shared" si="18"/>
        <v>0.42569166666666675</v>
      </c>
      <c r="K84" s="46">
        <f t="shared" si="18"/>
        <v>0.39469166666666672</v>
      </c>
      <c r="L84" s="46">
        <f t="shared" si="18"/>
        <v>0.32613333333333333</v>
      </c>
      <c r="M84" s="46">
        <f t="shared" si="18"/>
        <v>2.233416666666667E-3</v>
      </c>
      <c r="N84" s="46">
        <f t="shared" si="18"/>
        <v>2.2905833333333335E-7</v>
      </c>
      <c r="O84" s="46">
        <f t="shared" si="18"/>
        <v>4.5215000000000002E-11</v>
      </c>
      <c r="P84" s="46">
        <f t="shared" si="18"/>
        <v>1.5970833333333332E-14</v>
      </c>
      <c r="Q84" s="46">
        <f t="shared" si="18"/>
        <v>9.411666666666667E-18</v>
      </c>
      <c r="R84" s="46">
        <f t="shared" si="18"/>
        <v>8.7483333333333341E-21</v>
      </c>
      <c r="S84" s="46">
        <f t="shared" si="18"/>
        <v>2.8245E-31</v>
      </c>
      <c r="T84" s="46">
        <f t="shared" si="18"/>
        <v>0</v>
      </c>
      <c r="U84" s="46">
        <f t="shared" si="18"/>
        <v>0</v>
      </c>
      <c r="V84" s="46">
        <f t="shared" si="18"/>
        <v>0</v>
      </c>
      <c r="W84" s="46">
        <f t="shared" si="18"/>
        <v>0</v>
      </c>
      <c r="X84" s="46">
        <f t="shared" si="18"/>
        <v>0</v>
      </c>
      <c r="Y84" s="46">
        <f t="shared" si="18"/>
        <v>0</v>
      </c>
      <c r="Z84" s="46">
        <f t="shared" si="18"/>
        <v>0</v>
      </c>
      <c r="AA84" s="46">
        <f t="shared" si="18"/>
        <v>0</v>
      </c>
    </row>
    <row r="85" spans="1:27" ht="21" hidden="1" customHeight="1" outlineLevel="1" thickBot="1" x14ac:dyDescent="0.4">
      <c r="A85" s="5">
        <f t="shared" si="15"/>
        <v>0</v>
      </c>
      <c r="B85" s="5">
        <f t="shared" si="15"/>
        <v>0</v>
      </c>
      <c r="C85" s="5">
        <f t="shared" si="15"/>
        <v>1</v>
      </c>
      <c r="D85" s="5">
        <f t="shared" si="15"/>
        <v>0</v>
      </c>
      <c r="E85" s="42" t="str">
        <f t="shared" si="15"/>
        <v>Ge</v>
      </c>
      <c r="F85" s="46">
        <f t="shared" ref="F85:AA85" si="19">F7*$C$80</f>
        <v>0</v>
      </c>
      <c r="G85" s="46">
        <f t="shared" si="19"/>
        <v>0</v>
      </c>
      <c r="H85" s="46">
        <f t="shared" si="19"/>
        <v>0</v>
      </c>
      <c r="I85" s="46">
        <f t="shared" si="19"/>
        <v>0</v>
      </c>
      <c r="J85" s="46">
        <f t="shared" si="19"/>
        <v>0</v>
      </c>
      <c r="K85" s="46">
        <f t="shared" si="19"/>
        <v>0</v>
      </c>
      <c r="L85" s="46">
        <f t="shared" si="19"/>
        <v>3.9897500000000001E-33</v>
      </c>
      <c r="M85" s="46">
        <f t="shared" si="19"/>
        <v>5.3497499999999999E-31</v>
      </c>
      <c r="N85" s="46">
        <f t="shared" si="19"/>
        <v>8.4083333333333345E-29</v>
      </c>
      <c r="O85" s="46">
        <f t="shared" si="19"/>
        <v>7.2286666666666678E-27</v>
      </c>
      <c r="P85" s="46">
        <f t="shared" si="19"/>
        <v>3.8378333333333335E-25</v>
      </c>
      <c r="Q85" s="46">
        <f t="shared" si="19"/>
        <v>1.3643333333333334E-23</v>
      </c>
      <c r="R85" s="46">
        <f t="shared" si="19"/>
        <v>3.4470833333333338E-22</v>
      </c>
      <c r="S85" s="46">
        <f t="shared" si="19"/>
        <v>1.0554166666666667E-17</v>
      </c>
      <c r="T85" s="46">
        <f t="shared" si="19"/>
        <v>1.8591666666666669E-14</v>
      </c>
      <c r="U85" s="46">
        <f t="shared" si="19"/>
        <v>5.3170833333333338E-12</v>
      </c>
      <c r="V85" s="46">
        <f t="shared" si="19"/>
        <v>1.77425E-11</v>
      </c>
      <c r="W85" s="46">
        <f t="shared" si="19"/>
        <v>5.5240000000000008E-11</v>
      </c>
      <c r="X85" s="46">
        <f t="shared" si="19"/>
        <v>1.6140833333333334E-10</v>
      </c>
      <c r="Y85" s="46">
        <f t="shared" si="19"/>
        <v>4.4486666666666674E-10</v>
      </c>
      <c r="Z85" s="46">
        <f t="shared" si="19"/>
        <v>1.5598333333333334E-8</v>
      </c>
      <c r="AA85" s="46">
        <f t="shared" si="19"/>
        <v>2.8896666666666665E-7</v>
      </c>
    </row>
    <row r="86" spans="1:27" ht="21" hidden="1" customHeight="1" outlineLevel="1" thickBot="1" x14ac:dyDescent="0.4">
      <c r="A86" s="5">
        <f t="shared" si="15"/>
        <v>1</v>
      </c>
      <c r="B86" s="5">
        <f t="shared" si="15"/>
        <v>0</v>
      </c>
      <c r="C86" s="5">
        <f t="shared" si="15"/>
        <v>0</v>
      </c>
      <c r="D86" s="5">
        <f t="shared" si="15"/>
        <v>0</v>
      </c>
      <c r="E86" s="42" t="str">
        <f t="shared" si="15"/>
        <v>Ar</v>
      </c>
      <c r="F86" s="46">
        <f t="shared" ref="F86:AA86" si="20">F8*$C$80</f>
        <v>1.666666666666667</v>
      </c>
      <c r="G86" s="46">
        <f t="shared" si="20"/>
        <v>1.666666666666667</v>
      </c>
      <c r="H86" s="46">
        <f t="shared" si="20"/>
        <v>1.666666666666667</v>
      </c>
      <c r="I86" s="46">
        <f t="shared" si="20"/>
        <v>1.666666666666667</v>
      </c>
      <c r="J86" s="46">
        <f t="shared" si="20"/>
        <v>1.666666666666667</v>
      </c>
      <c r="K86" s="46">
        <f t="shared" si="20"/>
        <v>1.666666666666667</v>
      </c>
      <c r="L86" s="46">
        <f t="shared" si="20"/>
        <v>1.666666666666667</v>
      </c>
      <c r="M86" s="46">
        <f t="shared" si="20"/>
        <v>1.666666666666667</v>
      </c>
      <c r="N86" s="46">
        <f t="shared" si="20"/>
        <v>1.666666666666667</v>
      </c>
      <c r="O86" s="46">
        <f t="shared" si="20"/>
        <v>1.666666666666667</v>
      </c>
      <c r="P86" s="46">
        <f t="shared" si="20"/>
        <v>1.666666666666667</v>
      </c>
      <c r="Q86" s="46">
        <f t="shared" si="20"/>
        <v>1.666666666666667</v>
      </c>
      <c r="R86" s="46">
        <f t="shared" si="20"/>
        <v>1.666666666666667</v>
      </c>
      <c r="S86" s="46">
        <f t="shared" si="20"/>
        <v>1.666666666666667</v>
      </c>
      <c r="T86" s="46">
        <f t="shared" si="20"/>
        <v>1.666666666666667</v>
      </c>
      <c r="U86" s="46">
        <f t="shared" si="20"/>
        <v>1.666666666666667</v>
      </c>
      <c r="V86" s="46">
        <f t="shared" si="20"/>
        <v>1.666666666666667</v>
      </c>
      <c r="W86" s="46">
        <f t="shared" si="20"/>
        <v>1.666666666666667</v>
      </c>
      <c r="X86" s="46">
        <f t="shared" si="20"/>
        <v>1.666666666666667</v>
      </c>
      <c r="Y86" s="46">
        <f t="shared" si="20"/>
        <v>1.666666666666667</v>
      </c>
      <c r="Z86" s="46">
        <f t="shared" si="20"/>
        <v>1.666666666666667</v>
      </c>
      <c r="AA86" s="46">
        <f t="shared" si="20"/>
        <v>1.666666666666667</v>
      </c>
    </row>
    <row r="87" spans="1:27" ht="21" hidden="1" customHeight="1" outlineLevel="1" thickBot="1" x14ac:dyDescent="0.4">
      <c r="A87" s="5">
        <f t="shared" si="15"/>
        <v>0</v>
      </c>
      <c r="B87" s="5">
        <f t="shared" si="15"/>
        <v>2</v>
      </c>
      <c r="C87" s="5">
        <f t="shared" si="15"/>
        <v>1</v>
      </c>
      <c r="D87" s="5">
        <f t="shared" si="15"/>
        <v>0</v>
      </c>
      <c r="E87" s="42" t="str">
        <f t="shared" si="15"/>
        <v>(l)GeSe2</v>
      </c>
      <c r="F87" s="46">
        <f t="shared" ref="F87:AA87" si="21">F9*$C$80</f>
        <v>0.43709166666666666</v>
      </c>
      <c r="G87" s="46">
        <f t="shared" si="21"/>
        <v>0.23438333333333336</v>
      </c>
      <c r="H87" s="46">
        <f t="shared" si="21"/>
        <v>6.2753333333333328E-2</v>
      </c>
      <c r="I87" s="46">
        <f t="shared" si="21"/>
        <v>1.3532500000000001E-2</v>
      </c>
      <c r="J87" s="46">
        <f t="shared" si="21"/>
        <v>3.2029166666666668E-3</v>
      </c>
      <c r="K87" s="46">
        <f t="shared" si="21"/>
        <v>7.6527500000000005E-4</v>
      </c>
      <c r="L87" s="46">
        <f t="shared" si="21"/>
        <v>1.3539166666666667E-4</v>
      </c>
      <c r="M87" s="46">
        <f t="shared" si="21"/>
        <v>2.21825E-5</v>
      </c>
      <c r="N87" s="46">
        <f t="shared" si="21"/>
        <v>2.3696666666666665E-6</v>
      </c>
      <c r="O87" s="46">
        <f t="shared" si="21"/>
        <v>2.8064166666666666E-7</v>
      </c>
      <c r="P87" s="46">
        <f t="shared" si="21"/>
        <v>3.8113333333333334E-8</v>
      </c>
      <c r="Q87" s="46">
        <f t="shared" si="21"/>
        <v>5.8966666666666672E-9</v>
      </c>
      <c r="R87" s="46">
        <f t="shared" si="21"/>
        <v>1.0250833333333334E-9</v>
      </c>
      <c r="S87" s="46">
        <f t="shared" si="21"/>
        <v>2.3409166666666668E-12</v>
      </c>
      <c r="T87" s="46">
        <f t="shared" si="21"/>
        <v>1.5170000000000003E-14</v>
      </c>
      <c r="U87" s="46">
        <f t="shared" si="21"/>
        <v>1.9448333333333336E-16</v>
      </c>
      <c r="V87" s="46">
        <f t="shared" si="21"/>
        <v>7.0833333333333334E-17</v>
      </c>
      <c r="W87" s="46">
        <f t="shared" si="21"/>
        <v>2.6484166666666669E-17</v>
      </c>
      <c r="X87" s="46">
        <f t="shared" si="21"/>
        <v>1.0143333333333334E-17</v>
      </c>
      <c r="Y87" s="46">
        <f t="shared" si="21"/>
        <v>3.9710833333333336E-18</v>
      </c>
      <c r="Z87" s="46">
        <f t="shared" si="21"/>
        <v>1.1232500000000002E-19</v>
      </c>
      <c r="AA87" s="46">
        <f t="shared" si="21"/>
        <v>4.0040833333333334E-21</v>
      </c>
    </row>
    <row r="88" spans="1:27" ht="21" hidden="1" customHeight="1" outlineLevel="1" thickBot="1" x14ac:dyDescent="0.4">
      <c r="A88" s="5">
        <f t="shared" si="15"/>
        <v>0</v>
      </c>
      <c r="B88" s="5">
        <f t="shared" si="15"/>
        <v>1</v>
      </c>
      <c r="C88" s="5">
        <f t="shared" si="15"/>
        <v>1</v>
      </c>
      <c r="D88" s="5">
        <f t="shared" si="15"/>
        <v>0</v>
      </c>
      <c r="E88" s="42" t="str">
        <f t="shared" si="15"/>
        <v>(l)GeSe</v>
      </c>
      <c r="F88" s="46">
        <f t="shared" ref="F88:AA88" si="22">F10*$C$80</f>
        <v>0.56290000000000007</v>
      </c>
      <c r="G88" s="46">
        <f t="shared" si="22"/>
        <v>0.76549166666666668</v>
      </c>
      <c r="H88" s="46">
        <f t="shared" si="22"/>
        <v>0.93566666666666676</v>
      </c>
      <c r="I88" s="46">
        <f t="shared" si="22"/>
        <v>0.97091666666666676</v>
      </c>
      <c r="J88" s="46">
        <f t="shared" si="22"/>
        <v>0.8975833333333334</v>
      </c>
      <c r="K88" s="46">
        <f t="shared" si="22"/>
        <v>0.64804166666666674</v>
      </c>
      <c r="L88" s="46">
        <f t="shared" si="22"/>
        <v>0.3101416666666667</v>
      </c>
      <c r="M88" s="46">
        <f t="shared" si="22"/>
        <v>0.11843333333333335</v>
      </c>
      <c r="N88" s="46">
        <f t="shared" si="22"/>
        <v>3.4570000000000004E-2</v>
      </c>
      <c r="O88" s="46">
        <f t="shared" si="22"/>
        <v>1.0472500000000001E-2</v>
      </c>
      <c r="P88" s="46">
        <f t="shared" si="22"/>
        <v>3.4205833333333336E-3</v>
      </c>
      <c r="Q88" s="46">
        <f t="shared" si="22"/>
        <v>1.2054166666666667E-3</v>
      </c>
      <c r="R88" s="46">
        <f t="shared" si="22"/>
        <v>4.551E-4</v>
      </c>
      <c r="S88" s="46">
        <f t="shared" si="22"/>
        <v>1.5905000000000001E-5</v>
      </c>
      <c r="T88" s="46">
        <f t="shared" si="22"/>
        <v>1.0279166666666668E-6</v>
      </c>
      <c r="U88" s="46">
        <f t="shared" si="22"/>
        <v>9.9091666666666682E-8</v>
      </c>
      <c r="V88" s="46">
        <f t="shared" si="22"/>
        <v>5.7832500000000005E-8</v>
      </c>
      <c r="W88" s="46">
        <f t="shared" si="22"/>
        <v>3.4273333333333335E-8</v>
      </c>
      <c r="X88" s="46">
        <f t="shared" si="22"/>
        <v>2.0598333333333336E-8</v>
      </c>
      <c r="Y88" s="46">
        <f t="shared" si="22"/>
        <v>1.2539166666666667E-8</v>
      </c>
      <c r="Z88" s="46">
        <f t="shared" si="22"/>
        <v>1.9196666666666666E-9</v>
      </c>
      <c r="AA88" s="46">
        <f t="shared" si="22"/>
        <v>3.3655833333333338E-10</v>
      </c>
    </row>
    <row r="89" spans="1:27" ht="21" hidden="1" customHeight="1" outlineLevel="1" thickBot="1" x14ac:dyDescent="0.4">
      <c r="A89" s="5">
        <f t="shared" si="15"/>
        <v>0</v>
      </c>
      <c r="B89" s="5">
        <f t="shared" si="15"/>
        <v>3</v>
      </c>
      <c r="C89" s="5">
        <f t="shared" si="15"/>
        <v>0</v>
      </c>
      <c r="D89" s="5">
        <f t="shared" si="15"/>
        <v>2</v>
      </c>
      <c r="E89" s="42" t="str">
        <f t="shared" si="15"/>
        <v>(l)Ga2Se3</v>
      </c>
      <c r="F89" s="46">
        <f t="shared" ref="F89:AA89" si="23">F11*$C$80</f>
        <v>0.3245083333333334</v>
      </c>
      <c r="G89" s="46">
        <f t="shared" si="23"/>
        <v>0.35970000000000002</v>
      </c>
      <c r="H89" s="46">
        <f t="shared" si="23"/>
        <v>0.3861</v>
      </c>
      <c r="I89" s="46">
        <f t="shared" si="23"/>
        <v>0.39501666666666668</v>
      </c>
      <c r="J89" s="46">
        <f t="shared" si="23"/>
        <v>0.40764166666666674</v>
      </c>
      <c r="K89" s="46">
        <f t="shared" si="23"/>
        <v>0.43844166666666667</v>
      </c>
      <c r="L89" s="46">
        <f t="shared" si="23"/>
        <v>0.46740000000000004</v>
      </c>
      <c r="M89" s="46">
        <f t="shared" si="23"/>
        <v>8.7016666666666666E-3</v>
      </c>
      <c r="N89" s="46">
        <f t="shared" si="23"/>
        <v>9.1150000000000008E-7</v>
      </c>
      <c r="O89" s="46">
        <f t="shared" si="23"/>
        <v>1.8057499999999999E-10</v>
      </c>
      <c r="P89" s="46">
        <f t="shared" si="23"/>
        <v>6.3850833333333335E-14</v>
      </c>
      <c r="Q89" s="46">
        <f t="shared" si="23"/>
        <v>3.7639166666666669E-17</v>
      </c>
      <c r="R89" s="46">
        <f t="shared" si="23"/>
        <v>3.4990000000000001E-20</v>
      </c>
      <c r="S89" s="46">
        <f t="shared" si="23"/>
        <v>1.1298333333333334E-30</v>
      </c>
      <c r="T89" s="46">
        <f t="shared" si="23"/>
        <v>0</v>
      </c>
      <c r="U89" s="46">
        <f t="shared" si="23"/>
        <v>0</v>
      </c>
      <c r="V89" s="46">
        <f t="shared" si="23"/>
        <v>0</v>
      </c>
      <c r="W89" s="46">
        <f t="shared" si="23"/>
        <v>0</v>
      </c>
      <c r="X89" s="46">
        <f t="shared" si="23"/>
        <v>0</v>
      </c>
      <c r="Y89" s="46">
        <f t="shared" si="23"/>
        <v>0</v>
      </c>
      <c r="Z89" s="46">
        <f t="shared" si="23"/>
        <v>0</v>
      </c>
      <c r="AA89" s="46">
        <f t="shared" si="23"/>
        <v>0</v>
      </c>
    </row>
    <row r="90" spans="1:27" ht="21" hidden="1" customHeight="1" outlineLevel="1" thickBot="1" x14ac:dyDescent="0.4">
      <c r="A90" s="5">
        <f t="shared" si="15"/>
        <v>0</v>
      </c>
      <c r="B90" s="5">
        <f t="shared" si="15"/>
        <v>0</v>
      </c>
      <c r="C90" s="5">
        <f t="shared" si="15"/>
        <v>1</v>
      </c>
      <c r="D90" s="5">
        <f t="shared" si="15"/>
        <v>0</v>
      </c>
      <c r="E90" s="42" t="str">
        <f t="shared" si="15"/>
        <v>(l)Ge</v>
      </c>
      <c r="F90" s="46">
        <f t="shared" ref="F90:AA90" si="24">F12*$C$80</f>
        <v>6.5636666666666678E-6</v>
      </c>
      <c r="G90" s="46">
        <f t="shared" si="24"/>
        <v>6.2263333333333331E-5</v>
      </c>
      <c r="H90" s="46">
        <f t="shared" si="24"/>
        <v>7.8948333333333338E-4</v>
      </c>
      <c r="I90" s="46">
        <f t="shared" si="24"/>
        <v>7.768916666666667E-3</v>
      </c>
      <c r="J90" s="46">
        <f t="shared" si="24"/>
        <v>4.9586666666666668E-2</v>
      </c>
      <c r="K90" s="46">
        <f t="shared" si="24"/>
        <v>0.17559166666666667</v>
      </c>
      <c r="L90" s="46">
        <f t="shared" si="24"/>
        <v>0.34485833333333338</v>
      </c>
      <c r="M90" s="46">
        <f t="shared" si="24"/>
        <v>0.44077500000000003</v>
      </c>
      <c r="N90" s="46">
        <f t="shared" si="24"/>
        <v>0.48271666666666668</v>
      </c>
      <c r="O90" s="46">
        <f t="shared" si="24"/>
        <v>0.49476666666666669</v>
      </c>
      <c r="P90" s="46">
        <f t="shared" si="24"/>
        <v>0.49829166666666669</v>
      </c>
      <c r="Q90" s="46">
        <f t="shared" si="24"/>
        <v>0.49940000000000007</v>
      </c>
      <c r="R90" s="46">
        <f t="shared" si="24"/>
        <v>0.49977500000000002</v>
      </c>
      <c r="S90" s="46">
        <f t="shared" si="24"/>
        <v>0.49999166666666667</v>
      </c>
      <c r="T90" s="46">
        <f t="shared" si="24"/>
        <v>0.5</v>
      </c>
      <c r="U90" s="46">
        <f t="shared" si="24"/>
        <v>0.5</v>
      </c>
      <c r="V90" s="46">
        <f t="shared" si="24"/>
        <v>0.5</v>
      </c>
      <c r="W90" s="46">
        <f t="shared" si="24"/>
        <v>0.5</v>
      </c>
      <c r="X90" s="46">
        <f t="shared" si="24"/>
        <v>0.5</v>
      </c>
      <c r="Y90" s="46">
        <f t="shared" si="24"/>
        <v>0.5</v>
      </c>
      <c r="Z90" s="46">
        <f t="shared" si="24"/>
        <v>0.5</v>
      </c>
      <c r="AA90" s="46">
        <f t="shared" si="24"/>
        <v>0.5</v>
      </c>
    </row>
    <row r="91" spans="1:27" ht="21" hidden="1" customHeight="1" outlineLevel="1" thickBot="1" x14ac:dyDescent="0.4">
      <c r="A91" s="5">
        <f t="shared" si="15"/>
        <v>0</v>
      </c>
      <c r="B91" s="5">
        <f t="shared" si="15"/>
        <v>0</v>
      </c>
      <c r="C91" s="5">
        <f t="shared" si="15"/>
        <v>0</v>
      </c>
      <c r="D91" s="5">
        <f t="shared" si="15"/>
        <v>1</v>
      </c>
      <c r="E91" s="42" t="str">
        <f t="shared" si="15"/>
        <v>(l)Ga</v>
      </c>
      <c r="F91" s="46">
        <f t="shared" ref="F91:AA91" si="25">F13*$C$80</f>
        <v>5.7599166666666671E-20</v>
      </c>
      <c r="G91" s="46">
        <f t="shared" si="25"/>
        <v>2.5871666666666667E-16</v>
      </c>
      <c r="H91" s="46">
        <f t="shared" si="25"/>
        <v>9.6775000000000019E-13</v>
      </c>
      <c r="I91" s="46">
        <f t="shared" si="25"/>
        <v>1.70575E-9</v>
      </c>
      <c r="J91" s="46">
        <f t="shared" si="25"/>
        <v>1.2318333333333334E-6</v>
      </c>
      <c r="K91" s="46">
        <f t="shared" si="25"/>
        <v>4.028916666666667E-4</v>
      </c>
      <c r="L91" s="46">
        <f t="shared" si="25"/>
        <v>7.9600833333333329E-2</v>
      </c>
      <c r="M91" s="46">
        <f t="shared" si="25"/>
        <v>1.6448333333333334</v>
      </c>
      <c r="N91" s="46">
        <f t="shared" si="25"/>
        <v>1.666666666666667</v>
      </c>
      <c r="O91" s="46">
        <f t="shared" si="25"/>
        <v>1.666666666666667</v>
      </c>
      <c r="P91" s="46">
        <f t="shared" si="25"/>
        <v>1.666666666666667</v>
      </c>
      <c r="Q91" s="46">
        <f t="shared" si="25"/>
        <v>1.666666666666667</v>
      </c>
      <c r="R91" s="46">
        <f t="shared" si="25"/>
        <v>1.666666666666667</v>
      </c>
      <c r="S91" s="46">
        <f t="shared" si="25"/>
        <v>1.666666666666667</v>
      </c>
      <c r="T91" s="46">
        <f t="shared" si="25"/>
        <v>1.666666666666667</v>
      </c>
      <c r="U91" s="46">
        <f t="shared" si="25"/>
        <v>1.666666666666667</v>
      </c>
      <c r="V91" s="46">
        <f t="shared" si="25"/>
        <v>1.666666666666667</v>
      </c>
      <c r="W91" s="46">
        <f t="shared" si="25"/>
        <v>1.666666666666667</v>
      </c>
      <c r="X91" s="46">
        <f t="shared" si="25"/>
        <v>1.666666666666667</v>
      </c>
      <c r="Y91" s="46">
        <f t="shared" si="25"/>
        <v>1.666666666666667</v>
      </c>
      <c r="Z91" s="46">
        <f t="shared" si="25"/>
        <v>1.666666666666667</v>
      </c>
      <c r="AA91" s="46">
        <f t="shared" si="25"/>
        <v>1.666666666666667</v>
      </c>
    </row>
    <row r="92" spans="1:27" ht="21" hidden="1" customHeight="1" outlineLevel="1" thickBot="1" x14ac:dyDescent="0.4">
      <c r="A92" s="5">
        <f t="shared" ref="A92:E101" si="26">A14</f>
        <v>0</v>
      </c>
      <c r="B92" s="5">
        <f t="shared" si="26"/>
        <v>1</v>
      </c>
      <c r="C92" s="5">
        <f t="shared" si="26"/>
        <v>0</v>
      </c>
      <c r="D92" s="5">
        <f t="shared" si="26"/>
        <v>0</v>
      </c>
      <c r="E92" s="42" t="str">
        <f t="shared" si="26"/>
        <v>(l)Se</v>
      </c>
      <c r="F92" s="46">
        <f t="shared" ref="F92:AA92" si="27">F14*$C$80</f>
        <v>5.4280833333333337E-8</v>
      </c>
      <c r="G92" s="46">
        <f t="shared" si="27"/>
        <v>1.5019166666666666E-7</v>
      </c>
      <c r="H92" s="46">
        <f t="shared" si="27"/>
        <v>1.6013333333333336E-7</v>
      </c>
      <c r="I92" s="46">
        <f t="shared" si="27"/>
        <v>1.1773333333333333E-7</v>
      </c>
      <c r="J92" s="46">
        <f t="shared" si="27"/>
        <v>8.9933333333333345E-8</v>
      </c>
      <c r="K92" s="46">
        <f t="shared" si="27"/>
        <v>8.3015000000000006E-8</v>
      </c>
      <c r="L92" s="46">
        <f t="shared" si="27"/>
        <v>8.4133333333333332E-8</v>
      </c>
      <c r="M92" s="46">
        <f t="shared" si="27"/>
        <v>1.7849166666666669E-7</v>
      </c>
      <c r="N92" s="46">
        <f t="shared" si="27"/>
        <v>1.3271666666666667E-7</v>
      </c>
      <c r="O92" s="46">
        <f t="shared" si="27"/>
        <v>9.6450000000000007E-8</v>
      </c>
      <c r="P92" s="46">
        <f t="shared" si="27"/>
        <v>6.9915000000000001E-8</v>
      </c>
      <c r="Q92" s="46">
        <f t="shared" si="27"/>
        <v>5.0721666666666673E-8</v>
      </c>
      <c r="R92" s="46">
        <f t="shared" si="27"/>
        <v>3.6869166666666669E-8</v>
      </c>
      <c r="S92" s="46">
        <f t="shared" si="27"/>
        <v>1.0543333333333333E-8</v>
      </c>
      <c r="T92" s="46">
        <f t="shared" si="27"/>
        <v>3.1295833333333336E-9</v>
      </c>
      <c r="U92" s="46">
        <f t="shared" si="27"/>
        <v>9.5791666666666664E-10</v>
      </c>
      <c r="V92" s="46">
        <f t="shared" si="27"/>
        <v>7.1515833333333339E-10</v>
      </c>
      <c r="W92" s="46">
        <f t="shared" si="27"/>
        <v>5.345083333333334E-10</v>
      </c>
      <c r="X92" s="46">
        <f t="shared" si="27"/>
        <v>3.9987500000000003E-10</v>
      </c>
      <c r="Y92" s="46">
        <f t="shared" si="27"/>
        <v>2.9940000000000002E-10</v>
      </c>
      <c r="Z92" s="46">
        <f t="shared" si="27"/>
        <v>9.4583333333333343E-11</v>
      </c>
      <c r="AA92" s="46">
        <f t="shared" si="27"/>
        <v>2.9949166666666668E-11</v>
      </c>
    </row>
    <row r="93" spans="1:27" ht="21" hidden="1" customHeight="1" outlineLevel="1" thickBot="1" x14ac:dyDescent="0.4">
      <c r="A93" s="5">
        <f t="shared" si="26"/>
        <v>0</v>
      </c>
      <c r="B93" s="5">
        <f t="shared" si="26"/>
        <v>1</v>
      </c>
      <c r="C93" s="5">
        <f t="shared" si="26"/>
        <v>0</v>
      </c>
      <c r="D93" s="5">
        <f t="shared" si="26"/>
        <v>0</v>
      </c>
      <c r="E93" s="42" t="str">
        <f t="shared" si="26"/>
        <v>(l)Se[a]</v>
      </c>
      <c r="F93" s="46">
        <f t="shared" ref="F93:AA93" si="28">F15*$C$80</f>
        <v>1.5042500000000001E-8</v>
      </c>
      <c r="G93" s="46">
        <f t="shared" si="28"/>
        <v>5.1100833333333337E-8</v>
      </c>
      <c r="H93" s="46">
        <f t="shared" si="28"/>
        <v>6.454583333333333E-8</v>
      </c>
      <c r="I93" s="46">
        <f t="shared" si="28"/>
        <v>5.4700833333333337E-8</v>
      </c>
      <c r="J93" s="46">
        <f t="shared" si="28"/>
        <v>4.7144166666666673E-8</v>
      </c>
      <c r="K93" s="46">
        <f t="shared" si="28"/>
        <v>4.8267500000000005E-8</v>
      </c>
      <c r="L93" s="46">
        <f t="shared" si="28"/>
        <v>5.2840833333333338E-8</v>
      </c>
      <c r="M93" s="46">
        <f t="shared" si="28"/>
        <v>1.1015833333333334E-7</v>
      </c>
      <c r="N93" s="46">
        <f t="shared" si="28"/>
        <v>8.035833333333334E-8</v>
      </c>
      <c r="O93" s="46">
        <f t="shared" si="28"/>
        <v>5.7247500000000004E-8</v>
      </c>
      <c r="P93" s="46">
        <f t="shared" si="28"/>
        <v>4.0658333333333335E-8</v>
      </c>
      <c r="Q93" s="46">
        <f t="shared" si="28"/>
        <v>2.8896666666666668E-8</v>
      </c>
      <c r="R93" s="46">
        <f t="shared" si="28"/>
        <v>2.0578333333333337E-8</v>
      </c>
      <c r="S93" s="46">
        <f t="shared" si="28"/>
        <v>5.4338333333333337E-9</v>
      </c>
      <c r="T93" s="46">
        <f t="shared" si="28"/>
        <v>1.4962500000000001E-9</v>
      </c>
      <c r="U93" s="46">
        <f t="shared" si="28"/>
        <v>4.261333333333334E-10</v>
      </c>
      <c r="V93" s="46">
        <f t="shared" si="28"/>
        <v>3.1257500000000003E-10</v>
      </c>
      <c r="W93" s="46">
        <f t="shared" si="28"/>
        <v>2.2957500000000001E-10</v>
      </c>
      <c r="X93" s="46">
        <f t="shared" si="28"/>
        <v>1.6881666666666667E-10</v>
      </c>
      <c r="Y93" s="46">
        <f t="shared" si="28"/>
        <v>1.2425833333333335E-10</v>
      </c>
      <c r="Z93" s="46">
        <f t="shared" si="28"/>
        <v>3.6741666666666673E-11</v>
      </c>
      <c r="AA93" s="46">
        <f t="shared" si="28"/>
        <v>1.0925E-11</v>
      </c>
    </row>
    <row r="94" spans="1:27" ht="21" hidden="1" customHeight="1" outlineLevel="1" thickBot="1" x14ac:dyDescent="0.4">
      <c r="A94" s="5">
        <f t="shared" si="26"/>
        <v>0</v>
      </c>
      <c r="B94" s="5">
        <f t="shared" si="26"/>
        <v>1</v>
      </c>
      <c r="C94" s="5">
        <f t="shared" si="26"/>
        <v>0</v>
      </c>
      <c r="D94" s="5">
        <f t="shared" si="26"/>
        <v>0</v>
      </c>
      <c r="E94" s="42" t="str">
        <f t="shared" si="26"/>
        <v>(l)Se[m]</v>
      </c>
      <c r="F94" s="46">
        <f t="shared" ref="F94:AA94" si="29">F16*$C$80</f>
        <v>6.2923333333333331E-2</v>
      </c>
      <c r="G94" s="46">
        <f t="shared" si="29"/>
        <v>0.26574166666666671</v>
      </c>
      <c r="H94" s="46">
        <f t="shared" si="29"/>
        <v>0.43882500000000002</v>
      </c>
      <c r="I94" s="46">
        <f t="shared" si="29"/>
        <v>0.50200833333333339</v>
      </c>
      <c r="J94" s="46">
        <f t="shared" si="29"/>
        <v>0.59597500000000003</v>
      </c>
      <c r="K94" s="46">
        <f t="shared" si="29"/>
        <v>0.85100000000000009</v>
      </c>
      <c r="L94" s="46">
        <f t="shared" si="29"/>
        <v>1.3090000000000002</v>
      </c>
      <c r="M94" s="46">
        <f t="shared" si="29"/>
        <v>3.8487500000000003</v>
      </c>
      <c r="N94" s="46">
        <f t="shared" si="29"/>
        <v>3.965416666666667</v>
      </c>
      <c r="O94" s="46">
        <f t="shared" si="29"/>
        <v>3.9895000000000005</v>
      </c>
      <c r="P94" s="46">
        <f t="shared" si="29"/>
        <v>3.9965833333333336</v>
      </c>
      <c r="Q94" s="46">
        <f t="shared" si="29"/>
        <v>3.9988333333333337</v>
      </c>
      <c r="R94" s="46">
        <f t="shared" si="29"/>
        <v>3.9995833333333337</v>
      </c>
      <c r="S94" s="46">
        <f t="shared" si="29"/>
        <v>4</v>
      </c>
      <c r="T94" s="46">
        <f t="shared" si="29"/>
        <v>4</v>
      </c>
      <c r="U94" s="46">
        <f t="shared" si="29"/>
        <v>4</v>
      </c>
      <c r="V94" s="46">
        <f t="shared" si="29"/>
        <v>4</v>
      </c>
      <c r="W94" s="46">
        <f t="shared" si="29"/>
        <v>4</v>
      </c>
      <c r="X94" s="46">
        <f t="shared" si="29"/>
        <v>4</v>
      </c>
      <c r="Y94" s="46">
        <f t="shared" si="29"/>
        <v>4</v>
      </c>
      <c r="Z94" s="46">
        <f t="shared" si="29"/>
        <v>4</v>
      </c>
      <c r="AA94" s="46">
        <f t="shared" si="29"/>
        <v>4</v>
      </c>
    </row>
    <row r="95" spans="1:27" ht="21" hidden="1" customHeight="1" outlineLevel="1" thickBot="1" x14ac:dyDescent="0.4">
      <c r="A95" s="5">
        <f t="shared" si="26"/>
        <v>0</v>
      </c>
      <c r="B95" s="5">
        <f t="shared" si="26"/>
        <v>1</v>
      </c>
      <c r="C95" s="5">
        <f t="shared" si="26"/>
        <v>0</v>
      </c>
      <c r="D95" s="5">
        <f t="shared" si="26"/>
        <v>0</v>
      </c>
      <c r="E95" s="42" t="str">
        <f t="shared" si="26"/>
        <v>(l)Se[r]</v>
      </c>
      <c r="F95" s="46">
        <f t="shared" ref="F95:AA95" si="30">F17*$C$80</f>
        <v>2.5170000000000002E-10</v>
      </c>
      <c r="G95" s="46">
        <f t="shared" si="30"/>
        <v>1.36525E-9</v>
      </c>
      <c r="H95" s="46">
        <f t="shared" si="30"/>
        <v>2.5655000000000003E-9</v>
      </c>
      <c r="I95" s="46">
        <f t="shared" si="30"/>
        <v>3.0640000000000002E-9</v>
      </c>
      <c r="J95" s="46">
        <f t="shared" si="30"/>
        <v>3.5663333333333333E-9</v>
      </c>
      <c r="K95" s="46">
        <f t="shared" si="30"/>
        <v>4.7655000000000006E-9</v>
      </c>
      <c r="L95" s="46">
        <f t="shared" si="30"/>
        <v>6.6217500000000002E-9</v>
      </c>
      <c r="M95" s="46">
        <f t="shared" si="30"/>
        <v>1.7120833333333334E-8</v>
      </c>
      <c r="N95" s="46">
        <f t="shared" si="30"/>
        <v>1.5190833333333336E-8</v>
      </c>
      <c r="O95" s="46">
        <f t="shared" si="30"/>
        <v>1.2948333333333334E-8</v>
      </c>
      <c r="P95" s="46">
        <f t="shared" si="30"/>
        <v>1.08475E-8</v>
      </c>
      <c r="Q95" s="46">
        <f t="shared" si="30"/>
        <v>8.9825000000000012E-9</v>
      </c>
      <c r="R95" s="46">
        <f t="shared" si="30"/>
        <v>7.3739166666666672E-9</v>
      </c>
      <c r="S95" s="46">
        <f t="shared" si="30"/>
        <v>3.1597500000000004E-9</v>
      </c>
      <c r="T95" s="46">
        <f t="shared" si="30"/>
        <v>1.28025E-9</v>
      </c>
      <c r="U95" s="46">
        <f t="shared" si="30"/>
        <v>5.0196666666666668E-10</v>
      </c>
      <c r="V95" s="46">
        <f t="shared" si="30"/>
        <v>3.9563333333333335E-10</v>
      </c>
      <c r="W95" s="46">
        <f t="shared" si="30"/>
        <v>3.1137500000000002E-10</v>
      </c>
      <c r="X95" s="46">
        <f t="shared" si="30"/>
        <v>2.44725E-10</v>
      </c>
      <c r="Y95" s="46">
        <f t="shared" si="30"/>
        <v>1.9206666666666667E-10</v>
      </c>
      <c r="Z95" s="46">
        <f t="shared" si="30"/>
        <v>7.1891666666666669E-11</v>
      </c>
      <c r="AA95" s="46">
        <f t="shared" si="30"/>
        <v>2.6315000000000002E-11</v>
      </c>
    </row>
    <row r="96" spans="1:27" ht="21" hidden="1" customHeight="1" outlineLevel="1" thickBot="1" x14ac:dyDescent="0.4">
      <c r="A96" s="5">
        <f t="shared" si="26"/>
        <v>0</v>
      </c>
      <c r="B96" s="5">
        <f t="shared" si="26"/>
        <v>0</v>
      </c>
      <c r="C96" s="5">
        <f t="shared" si="26"/>
        <v>1</v>
      </c>
      <c r="D96" s="5">
        <f t="shared" si="26"/>
        <v>0</v>
      </c>
      <c r="E96" s="42" t="str">
        <f t="shared" si="26"/>
        <v>(l)Ge[c]</v>
      </c>
      <c r="F96" s="46">
        <f t="shared" ref="F96:AA96" si="31">F18*$C$80</f>
        <v>6.5636666666666678E-6</v>
      </c>
      <c r="G96" s="46">
        <f t="shared" si="31"/>
        <v>6.2263333333333331E-5</v>
      </c>
      <c r="H96" s="46">
        <f t="shared" si="31"/>
        <v>7.8948333333333338E-4</v>
      </c>
      <c r="I96" s="46">
        <f t="shared" si="31"/>
        <v>7.768916666666667E-3</v>
      </c>
      <c r="J96" s="46">
        <f t="shared" si="31"/>
        <v>4.9586666666666668E-2</v>
      </c>
      <c r="K96" s="46">
        <f t="shared" si="31"/>
        <v>0.17559166666666667</v>
      </c>
      <c r="L96" s="46">
        <f t="shared" si="31"/>
        <v>0.34485833333333338</v>
      </c>
      <c r="M96" s="46">
        <f t="shared" si="31"/>
        <v>0.44077500000000003</v>
      </c>
      <c r="N96" s="46">
        <f t="shared" si="31"/>
        <v>0.48271666666666668</v>
      </c>
      <c r="O96" s="46">
        <f t="shared" si="31"/>
        <v>0.49476666666666669</v>
      </c>
      <c r="P96" s="46">
        <f t="shared" si="31"/>
        <v>0.49829166666666669</v>
      </c>
      <c r="Q96" s="46">
        <f t="shared" si="31"/>
        <v>0.49940000000000007</v>
      </c>
      <c r="R96" s="46">
        <f t="shared" si="31"/>
        <v>0.49977500000000002</v>
      </c>
      <c r="S96" s="46">
        <f t="shared" si="31"/>
        <v>0.49999166666666667</v>
      </c>
      <c r="T96" s="46">
        <f t="shared" si="31"/>
        <v>0.5</v>
      </c>
      <c r="U96" s="46">
        <f t="shared" si="31"/>
        <v>0.5</v>
      </c>
      <c r="V96" s="46">
        <f t="shared" si="31"/>
        <v>0.5</v>
      </c>
      <c r="W96" s="46">
        <f t="shared" si="31"/>
        <v>0.5</v>
      </c>
      <c r="X96" s="46">
        <f t="shared" si="31"/>
        <v>0.5</v>
      </c>
      <c r="Y96" s="46">
        <f t="shared" si="31"/>
        <v>0.5</v>
      </c>
      <c r="Z96" s="46">
        <f t="shared" si="31"/>
        <v>0.5</v>
      </c>
      <c r="AA96" s="46">
        <f t="shared" si="31"/>
        <v>0.5</v>
      </c>
    </row>
    <row r="97" spans="1:27" ht="21" hidden="1" customHeight="1" outlineLevel="1" thickBot="1" x14ac:dyDescent="0.4">
      <c r="A97" s="5">
        <f t="shared" si="26"/>
        <v>1</v>
      </c>
      <c r="B97" s="5">
        <f t="shared" si="26"/>
        <v>0</v>
      </c>
      <c r="C97" s="5">
        <f t="shared" si="26"/>
        <v>0</v>
      </c>
      <c r="D97" s="5">
        <f t="shared" si="26"/>
        <v>0</v>
      </c>
      <c r="E97" s="42" t="str">
        <f t="shared" si="26"/>
        <v>H(Ar)</v>
      </c>
      <c r="F97" s="46">
        <f t="shared" ref="F97:AA97" si="32">F19*$C$80</f>
        <v>-157.33333333333334</v>
      </c>
      <c r="G97" s="46">
        <f t="shared" si="32"/>
        <v>-157.25000000000003</v>
      </c>
      <c r="H97" s="46">
        <f t="shared" si="32"/>
        <v>-157.5</v>
      </c>
      <c r="I97" s="46">
        <f t="shared" si="32"/>
        <v>-157.83333333333334</v>
      </c>
      <c r="J97" s="46">
        <f t="shared" si="32"/>
        <v>-158.25</v>
      </c>
      <c r="K97" s="46">
        <f t="shared" si="32"/>
        <v>-158.66666666666666</v>
      </c>
      <c r="L97" s="46">
        <f t="shared" si="32"/>
        <v>-158.91666666666669</v>
      </c>
      <c r="M97" s="46">
        <f t="shared" si="32"/>
        <v>-158.00000000000003</v>
      </c>
      <c r="N97" s="46">
        <f t="shared" si="32"/>
        <v>-158.58333333333334</v>
      </c>
      <c r="O97" s="46">
        <f t="shared" si="32"/>
        <v>-159.16666666666669</v>
      </c>
      <c r="P97" s="46">
        <f t="shared" si="32"/>
        <v>-159.75000000000003</v>
      </c>
      <c r="Q97" s="46">
        <f t="shared" si="32"/>
        <v>-160.33333333333334</v>
      </c>
      <c r="R97" s="46">
        <f t="shared" si="32"/>
        <v>-160.91666666666666</v>
      </c>
      <c r="S97" s="46">
        <f t="shared" si="32"/>
        <v>-163.08333333333334</v>
      </c>
      <c r="T97" s="46">
        <f t="shared" si="32"/>
        <v>-165.16666666666669</v>
      </c>
      <c r="U97" s="46">
        <f t="shared" si="32"/>
        <v>-167.08333333333334</v>
      </c>
      <c r="V97" s="46">
        <f t="shared" si="32"/>
        <v>-167.58333333333334</v>
      </c>
      <c r="W97" s="46">
        <f t="shared" si="32"/>
        <v>-168</v>
      </c>
      <c r="X97" s="46">
        <f t="shared" si="32"/>
        <v>-168.41666666666669</v>
      </c>
      <c r="Y97" s="46">
        <f t="shared" si="32"/>
        <v>-168.83333333333337</v>
      </c>
      <c r="Z97" s="46">
        <f t="shared" si="32"/>
        <v>-170.50000000000003</v>
      </c>
      <c r="AA97" s="46">
        <f t="shared" si="32"/>
        <v>-172.08333333333334</v>
      </c>
    </row>
    <row r="98" spans="1:27" ht="21" hidden="1" customHeight="1" outlineLevel="1" thickBot="1" x14ac:dyDescent="0.4">
      <c r="A98" s="5">
        <f t="shared" si="26"/>
        <v>0</v>
      </c>
      <c r="B98" s="5">
        <f t="shared" si="26"/>
        <v>0</v>
      </c>
      <c r="C98" s="5">
        <f t="shared" si="26"/>
        <v>0</v>
      </c>
      <c r="D98" s="5">
        <f t="shared" si="26"/>
        <v>1</v>
      </c>
      <c r="E98" s="42" t="str">
        <f t="shared" si="26"/>
        <v>H(Ga)</v>
      </c>
      <c r="F98" s="46">
        <f t="shared" ref="F98:AA98" si="33">F20*$C$80</f>
        <v>-506.58333333333337</v>
      </c>
      <c r="G98" s="46">
        <f t="shared" si="33"/>
        <v>-448.50000000000006</v>
      </c>
      <c r="H98" s="46">
        <f t="shared" si="33"/>
        <v>-391.75</v>
      </c>
      <c r="I98" s="46">
        <f t="shared" si="33"/>
        <v>-340.83333333333337</v>
      </c>
      <c r="J98" s="46">
        <f t="shared" si="33"/>
        <v>-297.58333333333337</v>
      </c>
      <c r="K98" s="46">
        <f t="shared" si="33"/>
        <v>-261.58333333333337</v>
      </c>
      <c r="L98" s="46">
        <f t="shared" si="33"/>
        <v>-230.50000000000003</v>
      </c>
      <c r="M98" s="46">
        <f t="shared" si="33"/>
        <v>-223.25</v>
      </c>
      <c r="N98" s="46">
        <f t="shared" si="33"/>
        <v>-234.25</v>
      </c>
      <c r="O98" s="46">
        <f t="shared" si="33"/>
        <v>-245.08333333333334</v>
      </c>
      <c r="P98" s="46">
        <f t="shared" si="33"/>
        <v>-255.75000000000003</v>
      </c>
      <c r="Q98" s="46">
        <f t="shared" si="33"/>
        <v>-266.16666666666669</v>
      </c>
      <c r="R98" s="46">
        <f t="shared" si="33"/>
        <v>-276.33333333333331</v>
      </c>
      <c r="S98" s="46">
        <f t="shared" si="33"/>
        <v>-313.91666666666669</v>
      </c>
      <c r="T98" s="46">
        <f t="shared" si="33"/>
        <v>-345.25</v>
      </c>
      <c r="U98" s="46">
        <f t="shared" si="33"/>
        <v>-369.41666666666669</v>
      </c>
      <c r="V98" s="46">
        <f t="shared" si="33"/>
        <v>-374.16666666666669</v>
      </c>
      <c r="W98" s="46">
        <f t="shared" si="33"/>
        <v>-378.50000000000006</v>
      </c>
      <c r="X98" s="46">
        <f t="shared" si="33"/>
        <v>-382.16666666666669</v>
      </c>
      <c r="Y98" s="46">
        <f t="shared" si="33"/>
        <v>-385.41666666666669</v>
      </c>
      <c r="Z98" s="46">
        <f t="shared" si="33"/>
        <v>-392.58333333333337</v>
      </c>
      <c r="AA98" s="46">
        <f t="shared" si="33"/>
        <v>-390.41666666666669</v>
      </c>
    </row>
    <row r="99" spans="1:27" ht="21" hidden="1" customHeight="1" outlineLevel="1" thickBot="1" x14ac:dyDescent="0.4">
      <c r="A99" s="5">
        <f t="shared" si="26"/>
        <v>0</v>
      </c>
      <c r="B99" s="5">
        <f t="shared" si="26"/>
        <v>0</v>
      </c>
      <c r="C99" s="5">
        <f t="shared" si="26"/>
        <v>1</v>
      </c>
      <c r="D99" s="5">
        <f t="shared" si="26"/>
        <v>0</v>
      </c>
      <c r="E99" s="42" t="str">
        <f t="shared" si="26"/>
        <v>H(Ge)</v>
      </c>
      <c r="F99" s="46">
        <f t="shared" ref="F99:AA99" si="34">F21*$C$80</f>
        <v>-133.33333333333334</v>
      </c>
      <c r="G99" s="46">
        <f t="shared" si="34"/>
        <v>-116.00000000000001</v>
      </c>
      <c r="H99" s="46">
        <f t="shared" si="34"/>
        <v>-96.166666666666671</v>
      </c>
      <c r="I99" s="46">
        <f t="shared" si="34"/>
        <v>-77.88333333333334</v>
      </c>
      <c r="J99" s="46">
        <f t="shared" si="34"/>
        <v>-63.433333333333337</v>
      </c>
      <c r="K99" s="46">
        <f t="shared" si="34"/>
        <v>-54.608333333333334</v>
      </c>
      <c r="L99" s="46">
        <f t="shared" si="34"/>
        <v>-51.466666666666669</v>
      </c>
      <c r="M99" s="46">
        <f t="shared" si="34"/>
        <v>-56.94166666666667</v>
      </c>
      <c r="N99" s="46">
        <f t="shared" si="34"/>
        <v>-57.025000000000006</v>
      </c>
      <c r="O99" s="46">
        <f t="shared" si="34"/>
        <v>-57.533333333333339</v>
      </c>
      <c r="P99" s="46">
        <f t="shared" si="34"/>
        <v>-58.175000000000004</v>
      </c>
      <c r="Q99" s="46">
        <f t="shared" si="34"/>
        <v>-58.850000000000009</v>
      </c>
      <c r="R99" s="46">
        <f t="shared" si="34"/>
        <v>-59.525000000000006</v>
      </c>
      <c r="S99" s="46">
        <f t="shared" si="34"/>
        <v>-62.19166666666667</v>
      </c>
      <c r="T99" s="46">
        <f t="shared" si="34"/>
        <v>-64.708333333333329</v>
      </c>
      <c r="U99" s="46">
        <f t="shared" si="34"/>
        <v>-67.066666666666677</v>
      </c>
      <c r="V99" s="46">
        <f t="shared" si="34"/>
        <v>-67.63333333333334</v>
      </c>
      <c r="W99" s="46">
        <f t="shared" si="34"/>
        <v>-68.183333333333337</v>
      </c>
      <c r="X99" s="46">
        <f t="shared" si="34"/>
        <v>-68.733333333333334</v>
      </c>
      <c r="Y99" s="46">
        <f t="shared" si="34"/>
        <v>-69.275000000000006</v>
      </c>
      <c r="Z99" s="46">
        <f t="shared" si="34"/>
        <v>-71.341666666666669</v>
      </c>
      <c r="AA99" s="46">
        <f t="shared" si="34"/>
        <v>-73.291666666666671</v>
      </c>
    </row>
    <row r="100" spans="1:27" ht="21" hidden="1" customHeight="1" outlineLevel="1" thickBot="1" x14ac:dyDescent="0.4">
      <c r="A100" s="5">
        <f t="shared" si="26"/>
        <v>0</v>
      </c>
      <c r="B100" s="5">
        <f t="shared" si="26"/>
        <v>1</v>
      </c>
      <c r="C100" s="5">
        <f t="shared" si="26"/>
        <v>0</v>
      </c>
      <c r="D100" s="5">
        <f t="shared" si="26"/>
        <v>0</v>
      </c>
      <c r="E100" s="42" t="str">
        <f t="shared" si="26"/>
        <v>H(Se)</v>
      </c>
      <c r="F100" s="46">
        <f t="shared" ref="F100:AA100" si="35">F22*$C$80</f>
        <v>-184.50000000000003</v>
      </c>
      <c r="G100" s="46">
        <f t="shared" si="35"/>
        <v>-177.50000000000003</v>
      </c>
      <c r="H100" s="46">
        <f t="shared" si="35"/>
        <v>-178.25000000000003</v>
      </c>
      <c r="I100" s="46">
        <f t="shared" si="35"/>
        <v>-181.66666666666669</v>
      </c>
      <c r="J100" s="46">
        <f t="shared" si="35"/>
        <v>-184.91666666666669</v>
      </c>
      <c r="K100" s="46">
        <f t="shared" si="35"/>
        <v>-187.33333333333334</v>
      </c>
      <c r="L100" s="46">
        <f t="shared" si="35"/>
        <v>-189.91666666666669</v>
      </c>
      <c r="M100" s="46">
        <f t="shared" si="35"/>
        <v>-192</v>
      </c>
      <c r="N100" s="46">
        <f t="shared" si="35"/>
        <v>-196.08333333333334</v>
      </c>
      <c r="O100" s="46">
        <f t="shared" si="35"/>
        <v>-200.25000000000003</v>
      </c>
      <c r="P100" s="46">
        <f t="shared" si="35"/>
        <v>-204.25000000000003</v>
      </c>
      <c r="Q100" s="46">
        <f t="shared" si="35"/>
        <v>-208.25</v>
      </c>
      <c r="R100" s="46">
        <f t="shared" si="35"/>
        <v>-212.25</v>
      </c>
      <c r="S100" s="46">
        <f t="shared" si="35"/>
        <v>-227.33333333333337</v>
      </c>
      <c r="T100" s="46">
        <f t="shared" si="35"/>
        <v>-241.66666666666669</v>
      </c>
      <c r="U100" s="46">
        <f t="shared" si="35"/>
        <v>-255.25</v>
      </c>
      <c r="V100" s="46">
        <f t="shared" si="35"/>
        <v>-258.58333333333337</v>
      </c>
      <c r="W100" s="46">
        <f t="shared" si="35"/>
        <v>-261.83333333333337</v>
      </c>
      <c r="X100" s="46">
        <f t="shared" si="35"/>
        <v>-265.08333333333331</v>
      </c>
      <c r="Y100" s="46">
        <f t="shared" si="35"/>
        <v>-268.33333333333337</v>
      </c>
      <c r="Z100" s="46">
        <f t="shared" si="35"/>
        <v>-281.08333333333331</v>
      </c>
      <c r="AA100" s="46">
        <f t="shared" si="35"/>
        <v>-293.5</v>
      </c>
    </row>
    <row r="101" spans="1:27" ht="21" hidden="1" customHeight="1" outlineLevel="1" thickBot="1" x14ac:dyDescent="0.4">
      <c r="A101" s="5">
        <f t="shared" si="26"/>
        <v>0</v>
      </c>
      <c r="B101" s="5">
        <f t="shared" si="26"/>
        <v>0</v>
      </c>
      <c r="C101" s="5">
        <f t="shared" si="26"/>
        <v>0</v>
      </c>
      <c r="D101" s="5">
        <f t="shared" si="26"/>
        <v>0</v>
      </c>
      <c r="E101" s="42">
        <f t="shared" si="26"/>
        <v>0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</row>
    <row r="102" spans="1:27" ht="21" hidden="1" customHeight="1" outlineLevel="1" thickBot="1" x14ac:dyDescent="0.4">
      <c r="A102" s="5">
        <f t="shared" ref="A102:E111" si="36">A24</f>
        <v>0</v>
      </c>
      <c r="B102" s="5">
        <f t="shared" si="36"/>
        <v>0</v>
      </c>
      <c r="C102" s="5">
        <f t="shared" si="36"/>
        <v>0</v>
      </c>
      <c r="D102" s="5">
        <f t="shared" si="36"/>
        <v>0</v>
      </c>
      <c r="E102" s="42">
        <f t="shared" si="36"/>
        <v>0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</row>
    <row r="103" spans="1:27" ht="21" hidden="1" customHeight="1" outlineLevel="1" thickBot="1" x14ac:dyDescent="0.4">
      <c r="A103" s="5">
        <f t="shared" si="36"/>
        <v>0</v>
      </c>
      <c r="B103" s="5">
        <f t="shared" si="36"/>
        <v>0</v>
      </c>
      <c r="C103" s="5">
        <f t="shared" si="36"/>
        <v>0</v>
      </c>
      <c r="D103" s="5">
        <f t="shared" si="36"/>
        <v>0</v>
      </c>
      <c r="E103" s="42">
        <f t="shared" si="36"/>
        <v>0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</row>
    <row r="104" spans="1:27" ht="21" hidden="1" customHeight="1" outlineLevel="1" thickBot="1" x14ac:dyDescent="0.4">
      <c r="A104" s="5">
        <f t="shared" si="36"/>
        <v>0</v>
      </c>
      <c r="B104" s="5">
        <f t="shared" si="36"/>
        <v>0</v>
      </c>
      <c r="C104" s="5">
        <f t="shared" si="36"/>
        <v>0</v>
      </c>
      <c r="D104" s="5">
        <f t="shared" si="36"/>
        <v>0</v>
      </c>
      <c r="E104" s="42">
        <f t="shared" si="36"/>
        <v>0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</row>
    <row r="105" spans="1:27" ht="21" hidden="1" customHeight="1" outlineLevel="1" thickBot="1" x14ac:dyDescent="0.4">
      <c r="A105" s="5">
        <f t="shared" si="36"/>
        <v>0</v>
      </c>
      <c r="B105" s="5">
        <f t="shared" si="36"/>
        <v>0</v>
      </c>
      <c r="C105" s="5">
        <f t="shared" si="36"/>
        <v>0</v>
      </c>
      <c r="D105" s="5">
        <f t="shared" si="36"/>
        <v>0</v>
      </c>
      <c r="E105" s="42">
        <f t="shared" si="36"/>
        <v>0</v>
      </c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</row>
    <row r="106" spans="1:27" ht="21" hidden="1" customHeight="1" outlineLevel="1" thickBot="1" x14ac:dyDescent="0.4">
      <c r="A106" s="5">
        <f t="shared" si="36"/>
        <v>0</v>
      </c>
      <c r="B106" s="5">
        <f t="shared" si="36"/>
        <v>0</v>
      </c>
      <c r="C106" s="5">
        <f t="shared" si="36"/>
        <v>0</v>
      </c>
      <c r="D106" s="5">
        <f t="shared" si="36"/>
        <v>0</v>
      </c>
      <c r="E106" s="42">
        <f t="shared" si="36"/>
        <v>0</v>
      </c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</row>
    <row r="107" spans="1:27" ht="21" hidden="1" customHeight="1" outlineLevel="1" thickBot="1" x14ac:dyDescent="0.4">
      <c r="A107" s="5">
        <f t="shared" si="36"/>
        <v>0</v>
      </c>
      <c r="B107" s="5">
        <f t="shared" si="36"/>
        <v>0</v>
      </c>
      <c r="C107" s="5">
        <f t="shared" si="36"/>
        <v>0</v>
      </c>
      <c r="D107" s="5">
        <f t="shared" si="36"/>
        <v>0</v>
      </c>
      <c r="E107" s="42">
        <f t="shared" si="36"/>
        <v>0</v>
      </c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</row>
    <row r="108" spans="1:27" ht="21" hidden="1" customHeight="1" outlineLevel="1" thickBot="1" x14ac:dyDescent="0.4">
      <c r="A108" s="5">
        <f t="shared" si="36"/>
        <v>0</v>
      </c>
      <c r="B108" s="5">
        <f t="shared" si="36"/>
        <v>0</v>
      </c>
      <c r="C108" s="5">
        <f t="shared" si="36"/>
        <v>0</v>
      </c>
      <c r="D108" s="5">
        <f t="shared" si="36"/>
        <v>0</v>
      </c>
      <c r="E108" s="42">
        <f t="shared" si="36"/>
        <v>0</v>
      </c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</row>
    <row r="109" spans="1:27" ht="21" hidden="1" customHeight="1" outlineLevel="1" thickBot="1" x14ac:dyDescent="0.4">
      <c r="A109" s="5">
        <f t="shared" si="36"/>
        <v>0</v>
      </c>
      <c r="B109" s="5">
        <f t="shared" si="36"/>
        <v>0</v>
      </c>
      <c r="C109" s="5">
        <f t="shared" si="36"/>
        <v>0</v>
      </c>
      <c r="D109" s="5">
        <f t="shared" si="36"/>
        <v>0</v>
      </c>
      <c r="E109" s="42">
        <f t="shared" si="36"/>
        <v>0</v>
      </c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</row>
    <row r="110" spans="1:27" ht="21" hidden="1" customHeight="1" outlineLevel="1" thickBot="1" x14ac:dyDescent="0.4">
      <c r="A110" s="5">
        <f t="shared" si="36"/>
        <v>0</v>
      </c>
      <c r="B110" s="5">
        <f t="shared" si="36"/>
        <v>0</v>
      </c>
      <c r="C110" s="5">
        <f t="shared" si="36"/>
        <v>0</v>
      </c>
      <c r="D110" s="5">
        <f t="shared" si="36"/>
        <v>0</v>
      </c>
      <c r="E110" s="42">
        <f t="shared" si="36"/>
        <v>0</v>
      </c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</row>
    <row r="111" spans="1:27" ht="21" hidden="1" customHeight="1" outlineLevel="1" thickBot="1" x14ac:dyDescent="0.4">
      <c r="A111" s="5">
        <f t="shared" si="36"/>
        <v>0</v>
      </c>
      <c r="B111" s="5">
        <f t="shared" si="36"/>
        <v>0</v>
      </c>
      <c r="C111" s="5">
        <f t="shared" si="36"/>
        <v>0</v>
      </c>
      <c r="D111" s="5">
        <f t="shared" si="36"/>
        <v>0</v>
      </c>
      <c r="E111" s="42">
        <f t="shared" si="36"/>
        <v>1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</row>
    <row r="112" spans="1:27" ht="21" hidden="1" customHeight="1" outlineLevel="1" x14ac:dyDescent="0.35"/>
    <row r="113" spans="1:27" ht="21" customHeight="1" collapsed="1" thickBot="1" x14ac:dyDescent="0.4"/>
    <row r="114" spans="1:27" ht="21" customHeight="1" thickTop="1" thickBot="1" x14ac:dyDescent="0.45">
      <c r="A114" s="59"/>
      <c r="B114" s="59"/>
      <c r="C114" s="59"/>
      <c r="D114" s="59"/>
      <c r="E114" s="61"/>
      <c r="F114" s="58" t="s">
        <v>279</v>
      </c>
      <c r="G114" s="58"/>
      <c r="H114" s="58"/>
      <c r="I114" s="58"/>
      <c r="J114" s="58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</row>
    <row r="115" spans="1:27" ht="21" hidden="1" customHeight="1" outlineLevel="1" thickTop="1" thickBot="1" x14ac:dyDescent="0.4">
      <c r="D115" s="19" t="s">
        <v>15</v>
      </c>
      <c r="E115" s="19"/>
      <c r="F115" s="6">
        <f t="shared" ref="F115:AA115" si="37">F3</f>
        <v>298.2</v>
      </c>
      <c r="G115" s="6">
        <f t="shared" si="37"/>
        <v>331.5</v>
      </c>
      <c r="H115" s="6">
        <f t="shared" si="37"/>
        <v>364.9</v>
      </c>
      <c r="I115" s="6">
        <f t="shared" si="37"/>
        <v>398.3</v>
      </c>
      <c r="J115" s="6">
        <f t="shared" si="37"/>
        <v>431.7</v>
      </c>
      <c r="K115" s="6">
        <f t="shared" si="37"/>
        <v>465.1</v>
      </c>
      <c r="L115" s="6">
        <f t="shared" si="37"/>
        <v>498.5</v>
      </c>
      <c r="M115" s="6">
        <f t="shared" si="37"/>
        <v>531.79999999999995</v>
      </c>
      <c r="N115" s="6">
        <f t="shared" si="37"/>
        <v>565.20000000000005</v>
      </c>
      <c r="O115" s="6">
        <f t="shared" si="37"/>
        <v>598.6</v>
      </c>
      <c r="P115" s="6">
        <f t="shared" si="37"/>
        <v>632</v>
      </c>
      <c r="Q115" s="6">
        <f t="shared" si="37"/>
        <v>665.4</v>
      </c>
      <c r="R115" s="6">
        <f t="shared" si="37"/>
        <v>698.8</v>
      </c>
      <c r="S115" s="6">
        <f t="shared" si="37"/>
        <v>832.3</v>
      </c>
      <c r="T115" s="6">
        <f t="shared" si="37"/>
        <v>965.8</v>
      </c>
      <c r="U115" s="6">
        <f t="shared" si="37"/>
        <v>1099</v>
      </c>
      <c r="V115" s="6">
        <f t="shared" si="37"/>
        <v>1133</v>
      </c>
      <c r="W115" s="6">
        <f t="shared" si="37"/>
        <v>1166</v>
      </c>
      <c r="X115" s="6">
        <f t="shared" si="37"/>
        <v>1200</v>
      </c>
      <c r="Y115" s="6">
        <f t="shared" si="37"/>
        <v>1233</v>
      </c>
      <c r="Z115" s="6">
        <f t="shared" si="37"/>
        <v>1366</v>
      </c>
      <c r="AA115" s="6">
        <f t="shared" si="37"/>
        <v>1500</v>
      </c>
    </row>
    <row r="116" spans="1:27" ht="21" hidden="1" customHeight="1" outlineLevel="1" thickTop="1" x14ac:dyDescent="0.35">
      <c r="E116" s="53" t="s">
        <v>45</v>
      </c>
      <c r="F116" s="107">
        <f>F$115*$B$2*SUMPRODUCT(F$87:F$96,F$53:F$62)/1000</f>
        <v>-273.27222024545767</v>
      </c>
      <c r="G116" s="107">
        <f t="shared" ref="G116:AA116" si="38">G$115*$B$2*SUMPRODUCT(G$87:G$96,G$53:G$62)/1000</f>
        <v>-296.49863021709274</v>
      </c>
      <c r="H116" s="107">
        <f t="shared" si="38"/>
        <v>-317.66214266472616</v>
      </c>
      <c r="I116" s="107">
        <f t="shared" si="38"/>
        <v>-331.802764632736</v>
      </c>
      <c r="J116" s="107">
        <f t="shared" si="38"/>
        <v>-348.69440401523849</v>
      </c>
      <c r="K116" s="107">
        <f t="shared" si="38"/>
        <v>-376.62331661032351</v>
      </c>
      <c r="L116" s="107">
        <f t="shared" si="38"/>
        <v>-427.3135371895176</v>
      </c>
      <c r="M116" s="107">
        <f t="shared" si="38"/>
        <v>-633.93543623277378</v>
      </c>
      <c r="N116" s="107">
        <f t="shared" si="38"/>
        <v>-694.62562127335298</v>
      </c>
      <c r="O116" s="107">
        <f t="shared" si="38"/>
        <v>-756.71248312547812</v>
      </c>
      <c r="P116" s="107">
        <f t="shared" si="38"/>
        <v>-820.64242361931872</v>
      </c>
      <c r="Q116" s="107">
        <f t="shared" si="38"/>
        <v>-886.61313474869678</v>
      </c>
      <c r="R116" s="107">
        <f t="shared" si="38"/>
        <v>-954.55722888938931</v>
      </c>
      <c r="S116" s="107">
        <f t="shared" si="38"/>
        <v>-1241.2463961793101</v>
      </c>
      <c r="T116" s="107">
        <f t="shared" si="38"/>
        <v>-1548.3325394869191</v>
      </c>
      <c r="U116" s="107">
        <f t="shared" si="38"/>
        <v>-1868.2017970383879</v>
      </c>
      <c r="V116" s="107">
        <f t="shared" si="38"/>
        <v>-1950.6611640188546</v>
      </c>
      <c r="W116" s="107">
        <f t="shared" si="38"/>
        <v>-2031.642201820147</v>
      </c>
      <c r="X116" s="107">
        <f t="shared" si="38"/>
        <v>-2114.4239196907956</v>
      </c>
      <c r="Y116" s="107">
        <f t="shared" si="38"/>
        <v>-2195.893370256651</v>
      </c>
      <c r="Z116" s="107">
        <f t="shared" si="38"/>
        <v>-2521.3622539169141</v>
      </c>
      <c r="AA116" s="107">
        <f t="shared" si="38"/>
        <v>-2840.5449939642649</v>
      </c>
    </row>
    <row r="117" spans="1:27" ht="21" hidden="1" customHeight="1" outlineLevel="1" x14ac:dyDescent="0.35">
      <c r="D117" s="52"/>
      <c r="E117" s="53" t="s">
        <v>48</v>
      </c>
      <c r="F117" s="107">
        <f>F$115*$B$2*SUMPRODUCT(F$87:F$92,F$53:F$58)/1000</f>
        <v>-269.81787327914708</v>
      </c>
      <c r="G117" s="107">
        <f t="shared" ref="G117:AA117" si="39">G$115*$B$2*SUMPRODUCT(G$87:G$92,G$53:G$58)/1000</f>
        <v>-280.89500508235648</v>
      </c>
      <c r="H117" s="107">
        <f t="shared" si="39"/>
        <v>-289.15632247299902</v>
      </c>
      <c r="I117" s="107">
        <f t="shared" si="39"/>
        <v>-295.32016354375281</v>
      </c>
      <c r="J117" s="107">
        <f t="shared" si="39"/>
        <v>-299.87129523010088</v>
      </c>
      <c r="K117" s="107">
        <f t="shared" si="39"/>
        <v>-298.19467402516756</v>
      </c>
      <c r="L117" s="107">
        <f t="shared" si="39"/>
        <v>-294.83831538491461</v>
      </c>
      <c r="M117" s="107">
        <f t="shared" si="39"/>
        <v>-228.52742999331298</v>
      </c>
      <c r="N117" s="107">
        <f t="shared" si="39"/>
        <v>-240.62330889318145</v>
      </c>
      <c r="O117" s="107">
        <f t="shared" si="39"/>
        <v>-262.57229891216673</v>
      </c>
      <c r="P117" s="107">
        <f t="shared" si="39"/>
        <v>-287.62631541655134</v>
      </c>
      <c r="Q117" s="107">
        <f t="shared" si="39"/>
        <v>-314.23719396432745</v>
      </c>
      <c r="R117" s="107">
        <f t="shared" si="39"/>
        <v>-341.93680724483863</v>
      </c>
      <c r="S117" s="107">
        <f t="shared" si="39"/>
        <v>-460.29657489815315</v>
      </c>
      <c r="T117" s="107">
        <f t="shared" si="39"/>
        <v>-585.65878877209389</v>
      </c>
      <c r="U117" s="107">
        <f t="shared" si="39"/>
        <v>-711.88885006662588</v>
      </c>
      <c r="V117" s="107">
        <f t="shared" si="39"/>
        <v>-743.18229733883595</v>
      </c>
      <c r="W117" s="107">
        <f t="shared" si="39"/>
        <v>-773.55037955836917</v>
      </c>
      <c r="X117" s="107">
        <f t="shared" si="39"/>
        <v>-803.75274595954545</v>
      </c>
      <c r="Y117" s="107">
        <f t="shared" si="39"/>
        <v>-832.85278201698009</v>
      </c>
      <c r="Z117" s="107">
        <f t="shared" si="39"/>
        <v>-940.37768067179752</v>
      </c>
      <c r="AA117" s="107">
        <f t="shared" si="39"/>
        <v>-1028.6803333229072</v>
      </c>
    </row>
    <row r="118" spans="1:27" ht="21" hidden="1" customHeight="1" outlineLevel="1" x14ac:dyDescent="0.35">
      <c r="B118" s="101" t="s">
        <v>49</v>
      </c>
      <c r="C118" s="101"/>
      <c r="E118" s="54" t="s">
        <v>47</v>
      </c>
      <c r="F118" s="107">
        <f>F$115*$B$2*SUMPRODUCT(F$84:F$85,F$50:F$51)/1000</f>
        <v>-237.17563242849008</v>
      </c>
      <c r="G118" s="107">
        <f t="shared" ref="G118:AA118" si="40">G$115*$B$2*SUMPRODUCT(G$84:G$85,G$50:G$51)/1000</f>
        <v>-223.93776305516852</v>
      </c>
      <c r="H118" s="107">
        <f t="shared" si="40"/>
        <v>-214.64619396559306</v>
      </c>
      <c r="I118" s="107">
        <f t="shared" si="40"/>
        <v>-213.66935487060803</v>
      </c>
      <c r="J118" s="107">
        <f t="shared" si="40"/>
        <v>-210.84385565810666</v>
      </c>
      <c r="K118" s="107">
        <f t="shared" si="40"/>
        <v>-198.75502852807628</v>
      </c>
      <c r="L118" s="107">
        <f t="shared" si="40"/>
        <v>-167.19800037095402</v>
      </c>
      <c r="M118" s="107">
        <f t="shared" si="40"/>
        <v>-1.2117102623154976</v>
      </c>
      <c r="N118" s="107">
        <f t="shared" si="40"/>
        <v>-1.3650164645147869E-4</v>
      </c>
      <c r="O118" s="107">
        <f t="shared" si="40"/>
        <v>-2.9459692420060309E-8</v>
      </c>
      <c r="P118" s="107">
        <f t="shared" si="40"/>
        <v>-1.1322046540359577E-11</v>
      </c>
      <c r="Q118" s="107">
        <f t="shared" si="40"/>
        <v>-7.2298849711329807E-15</v>
      </c>
      <c r="R118" s="107">
        <f t="shared" si="40"/>
        <v>-7.2691758966830498E-18</v>
      </c>
      <c r="S118" s="107">
        <f t="shared" si="40"/>
        <v>-5.4507143372282674E-16</v>
      </c>
      <c r="T118" s="107">
        <f t="shared" si="40"/>
        <v>-1.1592660649777627E-12</v>
      </c>
      <c r="U118" s="107">
        <f t="shared" si="40"/>
        <v>-3.9101666271731005E-10</v>
      </c>
      <c r="V118" s="107">
        <f t="shared" si="40"/>
        <v>-1.3565096879857052E-9</v>
      </c>
      <c r="W118" s="107">
        <f t="shared" si="40"/>
        <v>-4.3817523993117614E-9</v>
      </c>
      <c r="X118" s="107">
        <f t="shared" si="40"/>
        <v>-1.3282872045240003E-8</v>
      </c>
      <c r="Y118" s="107">
        <f t="shared" si="40"/>
        <v>-3.7912887357083108E-8</v>
      </c>
      <c r="Z118" s="107">
        <f t="shared" si="40"/>
        <v>-1.5166645328986553E-6</v>
      </c>
      <c r="AA118" s="107">
        <f t="shared" si="40"/>
        <v>-3.1696476619875006E-5</v>
      </c>
    </row>
    <row r="119" spans="1:27" ht="21" hidden="1" customHeight="1" outlineLevel="1" x14ac:dyDescent="0.35">
      <c r="E119" s="53" t="s">
        <v>46</v>
      </c>
      <c r="F119" s="107">
        <f>F$115*$B$2*SUMPRODUCT(F$84:F$86,F$50:F$52)/1000</f>
        <v>-315.19357914849002</v>
      </c>
      <c r="G119" s="107">
        <f t="shared" ref="G119:AA119" si="41">G$115*$B$2*SUMPRODUCT(G$84:G$86,G$50:G$52)/1000</f>
        <v>-310.62203784266853</v>
      </c>
      <c r="H119" s="107">
        <f t="shared" si="41"/>
        <v>-310.21596704059306</v>
      </c>
      <c r="I119" s="107">
        <f t="shared" si="41"/>
        <v>-318.20759108560804</v>
      </c>
      <c r="J119" s="107">
        <f t="shared" si="41"/>
        <v>-324.44740508060664</v>
      </c>
      <c r="K119" s="107">
        <f t="shared" si="41"/>
        <v>-321.47017520807628</v>
      </c>
      <c r="L119" s="107">
        <f t="shared" si="41"/>
        <v>-298.93286908345408</v>
      </c>
      <c r="M119" s="107">
        <f t="shared" si="41"/>
        <v>-140.93588502231555</v>
      </c>
      <c r="N119" s="107">
        <f t="shared" si="41"/>
        <v>-149.04802527164651</v>
      </c>
      <c r="O119" s="107">
        <f t="shared" si="41"/>
        <v>-158.43640047945976</v>
      </c>
      <c r="P119" s="107">
        <f t="shared" si="41"/>
        <v>-167.88970980001136</v>
      </c>
      <c r="Q119" s="107">
        <f t="shared" si="41"/>
        <v>-177.40781682000005</v>
      </c>
      <c r="R119" s="107">
        <f t="shared" si="41"/>
        <v>-186.99072151000004</v>
      </c>
      <c r="S119" s="107">
        <f t="shared" si="41"/>
        <v>-225.71249818250007</v>
      </c>
      <c r="T119" s="107">
        <f t="shared" si="41"/>
        <v>-265.26242677000118</v>
      </c>
      <c r="U119" s="107">
        <f t="shared" si="41"/>
        <v>-305.34931962539105</v>
      </c>
      <c r="V119" s="107">
        <f t="shared" si="41"/>
        <v>-315.73801022635661</v>
      </c>
      <c r="W119" s="107">
        <f t="shared" si="41"/>
        <v>-325.74215520438185</v>
      </c>
      <c r="X119" s="107">
        <f t="shared" si="41"/>
        <v>-336.072090013283</v>
      </c>
      <c r="Y119" s="107">
        <f t="shared" si="41"/>
        <v>-346.16838738791296</v>
      </c>
      <c r="Z119" s="107">
        <f t="shared" si="41"/>
        <v>-387.29440021666471</v>
      </c>
      <c r="AA119" s="107">
        <f t="shared" si="41"/>
        <v>-429.23609419647676</v>
      </c>
    </row>
    <row r="120" spans="1:27" ht="21" hidden="1" customHeight="1" outlineLevel="1" x14ac:dyDescent="0.35">
      <c r="E120" s="53" t="s">
        <v>90</v>
      </c>
      <c r="F120" s="107">
        <f>F118+F116</f>
        <v>-510.44785267394775</v>
      </c>
      <c r="G120" s="107">
        <f t="shared" ref="G120:AA120" si="42">G118+G116</f>
        <v>-520.43639327226128</v>
      </c>
      <c r="H120" s="107">
        <f t="shared" si="42"/>
        <v>-532.30833663031922</v>
      </c>
      <c r="I120" s="107">
        <f t="shared" si="42"/>
        <v>-545.47211950334406</v>
      </c>
      <c r="J120" s="107">
        <f t="shared" si="42"/>
        <v>-559.53825967334512</v>
      </c>
      <c r="K120" s="107">
        <f t="shared" si="42"/>
        <v>-575.37834513839982</v>
      </c>
      <c r="L120" s="107">
        <f t="shared" si="42"/>
        <v>-594.51153756047165</v>
      </c>
      <c r="M120" s="107">
        <f t="shared" si="42"/>
        <v>-635.14714649508926</v>
      </c>
      <c r="N120" s="107">
        <f t="shared" si="42"/>
        <v>-694.62575777499944</v>
      </c>
      <c r="O120" s="107">
        <f t="shared" si="42"/>
        <v>-756.71248315493779</v>
      </c>
      <c r="P120" s="107">
        <f t="shared" si="42"/>
        <v>-820.64242361933009</v>
      </c>
      <c r="Q120" s="107">
        <f t="shared" si="42"/>
        <v>-886.61313474869678</v>
      </c>
      <c r="R120" s="107">
        <f t="shared" si="42"/>
        <v>-954.55722888938931</v>
      </c>
      <c r="S120" s="107">
        <f t="shared" si="42"/>
        <v>-1241.2463961793101</v>
      </c>
      <c r="T120" s="107">
        <f t="shared" si="42"/>
        <v>-1548.3325394869203</v>
      </c>
      <c r="U120" s="107">
        <f t="shared" si="42"/>
        <v>-1868.201797038779</v>
      </c>
      <c r="V120" s="107">
        <f t="shared" si="42"/>
        <v>-1950.6611640202111</v>
      </c>
      <c r="W120" s="107">
        <f t="shared" si="42"/>
        <v>-2031.6422018245287</v>
      </c>
      <c r="X120" s="107">
        <f t="shared" si="42"/>
        <v>-2114.4239197040783</v>
      </c>
      <c r="Y120" s="107">
        <f t="shared" si="42"/>
        <v>-2195.8933702945637</v>
      </c>
      <c r="Z120" s="107">
        <f t="shared" si="42"/>
        <v>-2521.3622554335789</v>
      </c>
      <c r="AA120" s="107">
        <f t="shared" si="42"/>
        <v>-2840.5450256607414</v>
      </c>
    </row>
    <row r="121" spans="1:27" ht="21" hidden="1" customHeight="1" outlineLevel="1" x14ac:dyDescent="0.35">
      <c r="E121" s="53" t="s">
        <v>91</v>
      </c>
      <c r="F121" s="107">
        <f>F116+F119</f>
        <v>-588.46579939394769</v>
      </c>
      <c r="G121" s="107">
        <f t="shared" ref="G121:AA121" si="43">G116+G119</f>
        <v>-607.12066805976133</v>
      </c>
      <c r="H121" s="107">
        <f t="shared" si="43"/>
        <v>-627.87810970531928</v>
      </c>
      <c r="I121" s="107">
        <f t="shared" si="43"/>
        <v>-650.01035571834404</v>
      </c>
      <c r="J121" s="107">
        <f t="shared" si="43"/>
        <v>-673.14180909584513</v>
      </c>
      <c r="K121" s="107">
        <f t="shared" si="43"/>
        <v>-698.0934918183998</v>
      </c>
      <c r="L121" s="107">
        <f t="shared" si="43"/>
        <v>-726.24640627297163</v>
      </c>
      <c r="M121" s="107">
        <f t="shared" si="43"/>
        <v>-774.87132125508936</v>
      </c>
      <c r="N121" s="107">
        <f t="shared" si="43"/>
        <v>-843.67364654499943</v>
      </c>
      <c r="O121" s="107">
        <f t="shared" si="43"/>
        <v>-915.14888360493785</v>
      </c>
      <c r="P121" s="107">
        <f t="shared" si="43"/>
        <v>-988.53213341933008</v>
      </c>
      <c r="Q121" s="107">
        <f t="shared" si="43"/>
        <v>-1064.0209515686968</v>
      </c>
      <c r="R121" s="107">
        <f t="shared" si="43"/>
        <v>-1141.5479503993893</v>
      </c>
      <c r="S121" s="107">
        <f t="shared" si="43"/>
        <v>-1466.9588943618101</v>
      </c>
      <c r="T121" s="107">
        <f t="shared" si="43"/>
        <v>-1813.5949662569203</v>
      </c>
      <c r="U121" s="107">
        <f t="shared" si="43"/>
        <v>-2173.5511166637789</v>
      </c>
      <c r="V121" s="107">
        <f t="shared" si="43"/>
        <v>-2266.3991742452113</v>
      </c>
      <c r="W121" s="107">
        <f t="shared" si="43"/>
        <v>-2357.384357024529</v>
      </c>
      <c r="X121" s="107">
        <f t="shared" si="43"/>
        <v>-2450.4960097040785</v>
      </c>
      <c r="Y121" s="107">
        <f t="shared" si="43"/>
        <v>-2542.0617576445638</v>
      </c>
      <c r="Z121" s="107">
        <f t="shared" si="43"/>
        <v>-2908.6566541335787</v>
      </c>
      <c r="AA121" s="107">
        <f t="shared" si="43"/>
        <v>-3269.7810881607415</v>
      </c>
    </row>
    <row r="122" spans="1:27" ht="21" hidden="1" customHeight="1" outlineLevel="1" x14ac:dyDescent="0.35">
      <c r="E122" s="53" t="s">
        <v>65</v>
      </c>
      <c r="F122">
        <f>$A$2</f>
        <v>460</v>
      </c>
      <c r="G122" s="79">
        <f>MIN(F116:AM121)</f>
        <v>-3269.7810881607415</v>
      </c>
    </row>
    <row r="123" spans="1:27" ht="21" hidden="1" customHeight="1" outlineLevel="1" x14ac:dyDescent="0.35">
      <c r="E123" s="53"/>
      <c r="F123">
        <f>$A$2</f>
        <v>460</v>
      </c>
      <c r="G123" s="79">
        <f>MAX(F116:AM121)+1000000</f>
        <v>1000000</v>
      </c>
    </row>
    <row r="124" spans="1:27" ht="21" hidden="1" customHeight="1" outlineLevel="1" x14ac:dyDescent="0.35">
      <c r="E124" s="53"/>
      <c r="G124" s="79"/>
    </row>
    <row r="125" spans="1:27" ht="21" hidden="1" customHeight="1" outlineLevel="1" x14ac:dyDescent="0.35">
      <c r="E125" s="53"/>
      <c r="G125" s="79"/>
    </row>
    <row r="126" spans="1:27" ht="21" hidden="1" customHeight="1" outlineLevel="1" x14ac:dyDescent="0.35">
      <c r="E126" s="53"/>
      <c r="G126" s="79"/>
    </row>
    <row r="127" spans="1:27" ht="21" hidden="1" customHeight="1" outlineLevel="1" x14ac:dyDescent="0.35">
      <c r="E127" s="53"/>
      <c r="G127" s="79"/>
    </row>
    <row r="128" spans="1:27" ht="21" hidden="1" customHeight="1" outlineLevel="1" x14ac:dyDescent="0.35">
      <c r="E128" s="53"/>
      <c r="G128" s="79"/>
    </row>
    <row r="129" spans="1:19" ht="21" hidden="1" customHeight="1" outlineLevel="1" x14ac:dyDescent="0.35">
      <c r="E129" s="53"/>
    </row>
    <row r="130" spans="1:19" ht="21" hidden="1" customHeight="1" outlineLevel="1" x14ac:dyDescent="0.35">
      <c r="E130" s="53"/>
      <c r="G130" s="79"/>
    </row>
    <row r="131" spans="1:19" ht="21" hidden="1" customHeight="1" outlineLevel="1" x14ac:dyDescent="0.35">
      <c r="E131" s="53"/>
      <c r="G131" s="79"/>
    </row>
    <row r="132" spans="1:19" ht="21" hidden="1" customHeight="1" outlineLevel="1" x14ac:dyDescent="0.35">
      <c r="E132" s="53"/>
      <c r="G132" s="79"/>
    </row>
    <row r="133" spans="1:19" ht="21" hidden="1" customHeight="1" outlineLevel="1" x14ac:dyDescent="0.35">
      <c r="E133" s="53"/>
      <c r="G133" s="79"/>
    </row>
    <row r="134" spans="1:19" ht="21" customHeight="1" collapsed="1" thickTop="1" thickBot="1" x14ac:dyDescent="0.4"/>
    <row r="135" spans="1:19" ht="21" customHeight="1" thickBot="1" x14ac:dyDescent="0.45">
      <c r="A135" s="59"/>
      <c r="B135" s="59"/>
      <c r="C135" s="59"/>
      <c r="D135" s="59"/>
      <c r="E135" s="62"/>
      <c r="F135" s="58" t="s">
        <v>16</v>
      </c>
      <c r="G135" s="58"/>
      <c r="H135" s="58"/>
      <c r="I135" s="58"/>
      <c r="J135" s="27"/>
      <c r="K135" s="27"/>
      <c r="L135" s="27"/>
      <c r="M135" s="27"/>
      <c r="N135" s="27"/>
      <c r="O135" s="27"/>
      <c r="P135" s="27"/>
      <c r="Q135" s="27"/>
      <c r="R135" s="27"/>
      <c r="S135" s="28"/>
    </row>
    <row r="136" spans="1:19" ht="21" hidden="1" customHeight="1" outlineLevel="1" thickBot="1" x14ac:dyDescent="0.4">
      <c r="A136" s="26" t="s">
        <v>17</v>
      </c>
      <c r="B136" s="21" t="s">
        <v>18</v>
      </c>
      <c r="C136">
        <v>298.14999999999998</v>
      </c>
    </row>
    <row r="137" spans="1:19" ht="21" hidden="1" customHeight="1" outlineLevel="1" x14ac:dyDescent="0.35">
      <c r="A137">
        <v>8</v>
      </c>
      <c r="B137" s="20" t="s">
        <v>19</v>
      </c>
      <c r="C137">
        <v>5</v>
      </c>
    </row>
    <row r="138" spans="1:19" ht="21" hidden="1" customHeight="1" outlineLevel="1" x14ac:dyDescent="0.35">
      <c r="B138" s="22" t="s">
        <v>20</v>
      </c>
      <c r="C138" s="4">
        <f>C137-$C$137</f>
        <v>0</v>
      </c>
      <c r="D138" s="4">
        <f>D137-$C$137</f>
        <v>-5</v>
      </c>
      <c r="E138" s="4">
        <f t="shared" ref="E138:F138" si="44">E137-$C$137</f>
        <v>-5</v>
      </c>
      <c r="F138" s="4">
        <f t="shared" si="44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19" ht="21" hidden="1" customHeight="1" outlineLevel="1" thickBot="1" x14ac:dyDescent="0.4">
      <c r="B139" s="21" t="s">
        <v>21</v>
      </c>
      <c r="C139" s="4">
        <f>C138+$A$137</f>
        <v>8</v>
      </c>
      <c r="D139" s="4">
        <f t="shared" ref="D139:F139" si="45">D138+$A$137</f>
        <v>3</v>
      </c>
      <c r="E139" s="4">
        <f t="shared" si="45"/>
        <v>3</v>
      </c>
      <c r="F139" s="4">
        <f t="shared" si="45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19" ht="21" hidden="1" customHeight="1" outlineLevel="1" x14ac:dyDescent="0.35"/>
    <row r="141" spans="1:19" ht="21" customHeight="1" collapsed="1" x14ac:dyDescent="0.35"/>
  </sheetData>
  <mergeCells count="3">
    <mergeCell ref="A1:G1"/>
    <mergeCell ref="I1:S1"/>
    <mergeCell ref="B118:C118"/>
  </mergeCells>
  <conditionalFormatting sqref="A4:D33">
    <cfRule type="cellIs" dxfId="12" priority="8" operator="equal">
      <formula>0</formula>
    </cfRule>
  </conditionalFormatting>
  <conditionalFormatting sqref="A48:D78">
    <cfRule type="cellIs" dxfId="11" priority="5" operator="equal">
      <formula>0</formula>
    </cfRule>
  </conditionalFormatting>
  <conditionalFormatting sqref="A82:D111">
    <cfRule type="cellIs" dxfId="1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BQ145"/>
  <sheetViews>
    <sheetView tabSelected="1" topLeftCell="A45" zoomScale="85" zoomScaleNormal="85" zoomScaleSheetLayoutView="25" workbookViewId="0">
      <selection activeCell="BB80" sqref="BB80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3" width="8.6328125" hidden="1" customWidth="1"/>
    <col min="24" max="24" width="8.6328125" customWidth="1"/>
    <col min="25" max="49" width="8.6328125" hidden="1" customWidth="1"/>
    <col min="50" max="50" width="4.6328125" customWidth="1"/>
    <col min="69" max="69" width="4.453125" customWidth="1"/>
  </cols>
  <sheetData>
    <row r="1" spans="1:69" ht="87.95" customHeight="1" x14ac:dyDescent="0.35">
      <c r="A1" s="102" t="s">
        <v>37</v>
      </c>
      <c r="B1" s="102"/>
      <c r="C1" s="102"/>
      <c r="D1" s="102"/>
      <c r="E1" s="102"/>
      <c r="F1" s="102"/>
      <c r="G1" s="102"/>
      <c r="H1" s="47"/>
      <c r="I1" s="100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AX1" s="18"/>
      <c r="BQ1" s="18"/>
    </row>
    <row r="2" spans="1:69" ht="21" customHeight="1" x14ac:dyDescent="0.4">
      <c r="A2" s="80">
        <v>460</v>
      </c>
      <c r="B2" s="2">
        <v>8.3145000000000007</v>
      </c>
      <c r="C2" s="59"/>
      <c r="D2" s="59"/>
      <c r="E2" s="60"/>
      <c r="F2" s="58" t="str">
        <f>ALL!F2</f>
        <v>Первоначальные данные</v>
      </c>
      <c r="G2" s="58"/>
      <c r="H2" s="58"/>
      <c r="I2" s="58"/>
      <c r="J2" s="58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69" ht="21" hidden="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6"/>
      <c r="F3" s="36">
        <v>298.2</v>
      </c>
      <c r="G3" s="36">
        <v>431.7</v>
      </c>
      <c r="H3" s="36">
        <v>465.1</v>
      </c>
      <c r="I3" s="36">
        <v>498.5</v>
      </c>
      <c r="J3" s="36">
        <v>531.79999999999995</v>
      </c>
      <c r="K3" s="36">
        <v>565.20000000000005</v>
      </c>
      <c r="L3" s="36">
        <v>698.8</v>
      </c>
      <c r="M3" s="36">
        <v>732.2</v>
      </c>
      <c r="N3" s="36">
        <v>765.5</v>
      </c>
      <c r="O3" s="36">
        <v>798.9</v>
      </c>
      <c r="P3" s="36">
        <v>832.3</v>
      </c>
      <c r="Q3" s="36">
        <v>965.8</v>
      </c>
      <c r="R3" s="36">
        <v>999.2</v>
      </c>
      <c r="S3" s="36">
        <v>1033</v>
      </c>
      <c r="T3" s="36">
        <v>1066</v>
      </c>
      <c r="U3" s="36">
        <v>1099</v>
      </c>
      <c r="V3" s="36">
        <v>1233</v>
      </c>
      <c r="W3" s="36">
        <v>1366</v>
      </c>
      <c r="X3" s="36">
        <v>1500</v>
      </c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</row>
    <row r="4" spans="1:69" ht="21" hidden="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3</v>
      </c>
      <c r="C4" s="5">
        <f t="shared" si="0"/>
        <v>0</v>
      </c>
      <c r="D4" s="5">
        <f t="shared" si="0"/>
        <v>0</v>
      </c>
      <c r="E4" s="41" t="s">
        <v>33</v>
      </c>
      <c r="F4" s="37">
        <v>1.3056000000000001E-22</v>
      </c>
      <c r="G4" s="37">
        <v>8.4706E-14</v>
      </c>
      <c r="H4" s="37">
        <v>1.9731000000000001E-12</v>
      </c>
      <c r="I4" s="37">
        <v>2.9366000000000002E-11</v>
      </c>
      <c r="J4" s="37">
        <v>3.0681999999999998E-10</v>
      </c>
      <c r="K4" s="37">
        <v>2.4323E-9</v>
      </c>
      <c r="L4" s="37">
        <v>1.6574E-6</v>
      </c>
      <c r="M4" s="37">
        <v>5.8046000000000003E-6</v>
      </c>
      <c r="N4" s="37">
        <v>1.7708999999999999E-5</v>
      </c>
      <c r="O4" s="37">
        <v>4.7824000000000002E-5</v>
      </c>
      <c r="P4" s="37">
        <v>1.1595E-4</v>
      </c>
      <c r="Q4" s="37">
        <v>1.4264E-3</v>
      </c>
      <c r="R4" s="37">
        <v>1.9935999999999999E-3</v>
      </c>
      <c r="S4" s="37">
        <v>2.4840000000000001E-3</v>
      </c>
      <c r="T4" s="37">
        <v>2.7785000000000002E-3</v>
      </c>
      <c r="U4" s="37">
        <v>2.8771000000000001E-3</v>
      </c>
      <c r="V4" s="37">
        <v>2.3430999999999999E-3</v>
      </c>
      <c r="W4" s="37">
        <v>1.7071E-3</v>
      </c>
      <c r="X4" s="37">
        <v>1.2738999999999999E-3</v>
      </c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</row>
    <row r="5" spans="1:69" ht="21" hidden="1" customHeight="1" outlineLevel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4</v>
      </c>
      <c r="C5" s="5">
        <f t="shared" si="0"/>
        <v>0</v>
      </c>
      <c r="D5" s="5">
        <f t="shared" si="0"/>
        <v>0</v>
      </c>
      <c r="E5" s="41" t="s">
        <v>29</v>
      </c>
      <c r="F5" s="37">
        <v>7.6378999999999993E-21</v>
      </c>
      <c r="G5" s="37">
        <v>5.8909999999999998E-13</v>
      </c>
      <c r="H5" s="37">
        <v>9.5009000000000004E-12</v>
      </c>
      <c r="I5" s="37">
        <v>1.0218E-10</v>
      </c>
      <c r="J5" s="37">
        <v>8.0013999999999999E-10</v>
      </c>
      <c r="K5" s="37">
        <v>4.9136000000000001E-9</v>
      </c>
      <c r="L5" s="37">
        <v>1.6022000000000001E-6</v>
      </c>
      <c r="M5" s="37">
        <v>4.8679999999999998E-6</v>
      </c>
      <c r="N5" s="37">
        <v>1.2958E-5</v>
      </c>
      <c r="O5" s="37">
        <v>3.0632000000000001E-5</v>
      </c>
      <c r="P5" s="37">
        <v>6.5072000000000003E-5</v>
      </c>
      <c r="Q5" s="37">
        <v>4.3741E-4</v>
      </c>
      <c r="R5" s="37">
        <v>5.0403000000000004E-4</v>
      </c>
      <c r="S5" s="37">
        <v>5.0903999999999999E-4</v>
      </c>
      <c r="T5" s="37">
        <v>4.5489E-4</v>
      </c>
      <c r="U5" s="37">
        <v>3.7399999999999998E-4</v>
      </c>
      <c r="V5" s="37">
        <v>1.2596999999999999E-4</v>
      </c>
      <c r="W5" s="37">
        <v>4.3619999999999999E-5</v>
      </c>
      <c r="X5" s="37">
        <v>1.7612999999999999E-5</v>
      </c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</row>
    <row r="6" spans="1:69" ht="21" hidden="1" customHeight="1" outlineLevel="1" thickBot="1" x14ac:dyDescent="0.4">
      <c r="A6" s="5">
        <f t="shared" si="1"/>
        <v>0</v>
      </c>
      <c r="B6" s="5">
        <f t="shared" si="0"/>
        <v>5</v>
      </c>
      <c r="C6" s="5">
        <f t="shared" si="0"/>
        <v>0</v>
      </c>
      <c r="D6" s="5">
        <f t="shared" si="0"/>
        <v>0</v>
      </c>
      <c r="E6" s="41" t="s">
        <v>30</v>
      </c>
      <c r="F6" s="37">
        <v>1.3752E-17</v>
      </c>
      <c r="G6" s="37">
        <v>1.9065000000000001E-10</v>
      </c>
      <c r="H6" s="37">
        <v>2.2833000000000002E-9</v>
      </c>
      <c r="I6" s="37">
        <v>1.8868999999999998E-8</v>
      </c>
      <c r="J6" s="37">
        <v>1.1695E-7</v>
      </c>
      <c r="K6" s="37">
        <v>5.8406999999999996E-7</v>
      </c>
      <c r="L6" s="37">
        <v>1.0599000000000001E-4</v>
      </c>
      <c r="M6" s="37">
        <v>2.8779000000000001E-4</v>
      </c>
      <c r="N6" s="37">
        <v>6.8687999999999996E-4</v>
      </c>
      <c r="O6" s="37">
        <v>1.4574E-3</v>
      </c>
      <c r="P6" s="37">
        <v>2.7763000000000002E-3</v>
      </c>
      <c r="Q6" s="37">
        <v>1.1018999999999999E-2</v>
      </c>
      <c r="R6" s="37">
        <v>1.064E-2</v>
      </c>
      <c r="S6" s="37">
        <v>8.8444000000000005E-3</v>
      </c>
      <c r="T6" s="37">
        <v>6.4056E-3</v>
      </c>
      <c r="U6" s="37">
        <v>4.2385000000000001E-3</v>
      </c>
      <c r="V6" s="37">
        <v>6.1879999999999997E-4</v>
      </c>
      <c r="W6" s="37">
        <v>1.0581000000000001E-4</v>
      </c>
      <c r="X6" s="37">
        <v>2.3858000000000001E-5</v>
      </c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</row>
    <row r="7" spans="1:69" ht="21" hidden="1" customHeight="1" outlineLevel="1" thickBot="1" x14ac:dyDescent="0.4">
      <c r="A7" s="5">
        <f t="shared" si="1"/>
        <v>0</v>
      </c>
      <c r="B7" s="5">
        <f t="shared" si="0"/>
        <v>6</v>
      </c>
      <c r="C7" s="5">
        <f t="shared" si="0"/>
        <v>0</v>
      </c>
      <c r="D7" s="5">
        <f t="shared" si="0"/>
        <v>0</v>
      </c>
      <c r="E7" s="41" t="s">
        <v>31</v>
      </c>
      <c r="F7" s="37">
        <v>2.3151999999999998E-15</v>
      </c>
      <c r="G7" s="37">
        <v>1.7347E-9</v>
      </c>
      <c r="H7" s="37">
        <v>1.2705E-8</v>
      </c>
      <c r="I7" s="37">
        <v>6.8158999999999995E-8</v>
      </c>
      <c r="J7" s="37">
        <v>2.8845000000000002E-7</v>
      </c>
      <c r="K7" s="37">
        <v>1.0280999999999999E-6</v>
      </c>
      <c r="L7" s="37">
        <v>6.9690999999999994E-5</v>
      </c>
      <c r="M7" s="37">
        <v>1.5655000000000001E-4</v>
      </c>
      <c r="N7" s="37">
        <v>3.1220999999999999E-4</v>
      </c>
      <c r="O7" s="37">
        <v>5.5734999999999997E-4</v>
      </c>
      <c r="P7" s="37">
        <v>8.9707000000000003E-4</v>
      </c>
      <c r="Q7" s="37">
        <v>1.7256999999999999E-3</v>
      </c>
      <c r="R7" s="37">
        <v>1.3401999999999999E-3</v>
      </c>
      <c r="S7" s="37">
        <v>8.8225E-4</v>
      </c>
      <c r="T7" s="37">
        <v>4.9950000000000005E-4</v>
      </c>
      <c r="U7" s="37">
        <v>2.5712E-4</v>
      </c>
      <c r="V7" s="37">
        <v>1.4467999999999999E-5</v>
      </c>
      <c r="W7" s="37">
        <v>1.1112000000000001E-6</v>
      </c>
      <c r="X7" s="37">
        <v>1.2944E-7</v>
      </c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</row>
    <row r="8" spans="1:69" ht="21" hidden="1" customHeight="1" outlineLevel="1" thickBot="1" x14ac:dyDescent="0.4">
      <c r="A8" s="5">
        <f t="shared" si="1"/>
        <v>0</v>
      </c>
      <c r="B8" s="5">
        <f t="shared" si="0"/>
        <v>7</v>
      </c>
      <c r="C8" s="5">
        <f t="shared" si="0"/>
        <v>0</v>
      </c>
      <c r="D8" s="5">
        <f t="shared" si="0"/>
        <v>0</v>
      </c>
      <c r="E8" s="41" t="s">
        <v>28</v>
      </c>
      <c r="F8" s="37">
        <v>2.5534000000000002E-16</v>
      </c>
      <c r="G8" s="37">
        <v>3.8947999999999998E-10</v>
      </c>
      <c r="H8" s="37">
        <v>3.1175E-9</v>
      </c>
      <c r="I8" s="37">
        <v>1.7949999999999999E-8</v>
      </c>
      <c r="J8" s="37">
        <v>8.0486999999999998E-8</v>
      </c>
      <c r="K8" s="37">
        <v>3.0162000000000002E-7</v>
      </c>
      <c r="L8" s="37">
        <v>2.4817999999999999E-5</v>
      </c>
      <c r="M8" s="37">
        <v>5.7896999999999998E-5</v>
      </c>
      <c r="N8" s="37">
        <v>1.1872E-4</v>
      </c>
      <c r="O8" s="37">
        <v>2.1565000000000001E-4</v>
      </c>
      <c r="P8" s="37">
        <v>3.4928999999999998E-4</v>
      </c>
      <c r="Q8" s="37">
        <v>5.8067999999999998E-4</v>
      </c>
      <c r="R8" s="37">
        <v>4.0905999999999999E-4</v>
      </c>
      <c r="S8" s="37">
        <v>2.3866999999999999E-4</v>
      </c>
      <c r="T8" s="37">
        <v>1.1739E-4</v>
      </c>
      <c r="U8" s="37">
        <v>5.1907000000000003E-5</v>
      </c>
      <c r="V8" s="37">
        <v>1.5858999999999999E-6</v>
      </c>
      <c r="W8" s="37">
        <v>7.2071999999999998E-8</v>
      </c>
      <c r="X8" s="37">
        <v>5.4396000000000001E-9</v>
      </c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</row>
    <row r="9" spans="1:69" ht="21" hidden="1" customHeight="1" outlineLevel="1" thickBot="1" x14ac:dyDescent="0.4">
      <c r="A9" s="5">
        <f t="shared" si="1"/>
        <v>0</v>
      </c>
      <c r="B9" s="5">
        <f t="shared" si="0"/>
        <v>8</v>
      </c>
      <c r="C9" s="5">
        <f t="shared" si="0"/>
        <v>0</v>
      </c>
      <c r="D9" s="5">
        <f t="shared" si="0"/>
        <v>0</v>
      </c>
      <c r="E9" s="41" t="s">
        <v>32</v>
      </c>
      <c r="F9" s="37">
        <v>5.6206999999999997E-18</v>
      </c>
      <c r="G9" s="37">
        <v>1.4855E-11</v>
      </c>
      <c r="H9" s="37">
        <v>1.2668E-10</v>
      </c>
      <c r="I9" s="37">
        <v>7.6573E-10</v>
      </c>
      <c r="J9" s="37">
        <v>3.5687999999999999E-9</v>
      </c>
      <c r="K9" s="37">
        <v>1.3825999999999999E-8</v>
      </c>
      <c r="L9" s="37">
        <v>1.3120000000000001E-6</v>
      </c>
      <c r="M9" s="37">
        <v>3.1472999999999999E-6</v>
      </c>
      <c r="N9" s="37">
        <v>6.5763E-6</v>
      </c>
      <c r="O9" s="37">
        <v>1.2055999999999999E-5</v>
      </c>
      <c r="P9" s="37">
        <v>1.9502000000000001E-5</v>
      </c>
      <c r="Q9" s="37">
        <v>2.7330000000000001E-5</v>
      </c>
      <c r="R9" s="37">
        <v>1.7374E-5</v>
      </c>
      <c r="S9" s="37">
        <v>8.9414000000000005E-6</v>
      </c>
      <c r="T9" s="37">
        <v>3.8031999999999999E-6</v>
      </c>
      <c r="U9" s="37">
        <v>1.4384000000000001E-6</v>
      </c>
      <c r="V9" s="37">
        <v>2.3513E-8</v>
      </c>
      <c r="W9" s="37">
        <v>6.2489999999999998E-10</v>
      </c>
      <c r="X9" s="37">
        <v>3.0264000000000003E-11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</row>
    <row r="10" spans="1:69" ht="21" hidden="1" customHeight="1" outlineLevel="1" thickBot="1" x14ac:dyDescent="0.4">
      <c r="A10" s="5">
        <f t="shared" si="1"/>
        <v>0</v>
      </c>
      <c r="B10" s="5">
        <f t="shared" si="0"/>
        <v>2</v>
      </c>
      <c r="C10" s="5">
        <f t="shared" si="0"/>
        <v>0</v>
      </c>
      <c r="D10" s="5">
        <f t="shared" si="0"/>
        <v>0</v>
      </c>
      <c r="E10" s="41" t="s">
        <v>35</v>
      </c>
      <c r="F10" s="37">
        <v>5.9567000000000001E-18</v>
      </c>
      <c r="G10" s="37">
        <v>1.1197E-10</v>
      </c>
      <c r="H10" s="37">
        <v>1.5425E-9</v>
      </c>
      <c r="I10" s="37">
        <v>1.4734E-8</v>
      </c>
      <c r="J10" s="37">
        <v>1.0530999999999999E-7</v>
      </c>
      <c r="K10" s="37">
        <v>5.9993000000000005E-7</v>
      </c>
      <c r="L10" s="37">
        <v>1.4694E-4</v>
      </c>
      <c r="M10" s="37">
        <v>4.2429000000000002E-4</v>
      </c>
      <c r="N10" s="37">
        <v>1.0943000000000001E-3</v>
      </c>
      <c r="O10" s="37">
        <v>2.5579000000000001E-3</v>
      </c>
      <c r="P10" s="37">
        <v>5.4903E-3</v>
      </c>
      <c r="Q10" s="37">
        <v>5.3856000000000001E-2</v>
      </c>
      <c r="R10" s="37">
        <v>7.6957999999999999E-2</v>
      </c>
      <c r="S10" s="37">
        <v>0.1009</v>
      </c>
      <c r="T10" s="37">
        <v>0.12180000000000001</v>
      </c>
      <c r="U10" s="37">
        <v>0.13827999999999999</v>
      </c>
      <c r="V10" s="37">
        <v>0.16958000000000001</v>
      </c>
      <c r="W10" s="37">
        <v>0.17902000000000001</v>
      </c>
      <c r="X10" s="37">
        <v>0.18295</v>
      </c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</row>
    <row r="11" spans="1:69" ht="21" hidden="1" customHeight="1" outlineLevel="1" thickBot="1" x14ac:dyDescent="0.4">
      <c r="A11" s="5">
        <f t="shared" si="1"/>
        <v>0</v>
      </c>
      <c r="B11" s="5">
        <f t="shared" si="0"/>
        <v>1</v>
      </c>
      <c r="C11" s="5">
        <f t="shared" si="0"/>
        <v>0</v>
      </c>
      <c r="D11" s="5">
        <f t="shared" si="0"/>
        <v>0</v>
      </c>
      <c r="E11" s="41" t="s">
        <v>8</v>
      </c>
      <c r="F11" s="37">
        <v>6.4033E-36</v>
      </c>
      <c r="G11" s="37">
        <v>2.5945999999999999E-23</v>
      </c>
      <c r="H11" s="37">
        <v>2.6408000000000001E-21</v>
      </c>
      <c r="I11" s="37">
        <v>1.4384E-19</v>
      </c>
      <c r="J11" s="37">
        <v>4.7421000000000004E-18</v>
      </c>
      <c r="K11" s="37">
        <v>1.0437E-16</v>
      </c>
      <c r="L11" s="37">
        <v>1.5332999999999999E-12</v>
      </c>
      <c r="M11" s="37">
        <v>9.8017999999999997E-12</v>
      </c>
      <c r="N11" s="37">
        <v>5.2666000000000002E-11</v>
      </c>
      <c r="O11" s="37">
        <v>2.4358E-10</v>
      </c>
      <c r="P11" s="37">
        <v>9.9060000000000007E-10</v>
      </c>
      <c r="Q11" s="37">
        <v>9.6452999999999997E-8</v>
      </c>
      <c r="R11" s="37">
        <v>2.3846999999999999E-7</v>
      </c>
      <c r="S11" s="37">
        <v>5.384E-7</v>
      </c>
      <c r="T11" s="37">
        <v>1.1132E-6</v>
      </c>
      <c r="U11" s="37">
        <v>2.1393E-6</v>
      </c>
      <c r="V11" s="37">
        <v>1.7793000000000001E-5</v>
      </c>
      <c r="W11" s="37">
        <v>9.1658999999999998E-5</v>
      </c>
      <c r="X11" s="37">
        <v>3.4886999999999999E-4</v>
      </c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</row>
    <row r="12" spans="1:69" ht="21" hidden="1" customHeight="1" outlineLevel="1" thickBot="1" x14ac:dyDescent="0.4">
      <c r="A12" s="5">
        <f t="shared" si="1"/>
        <v>0</v>
      </c>
      <c r="B12" s="5">
        <f t="shared" si="0"/>
        <v>1</v>
      </c>
      <c r="C12" s="5">
        <f t="shared" si="0"/>
        <v>0</v>
      </c>
      <c r="D12" s="5">
        <f t="shared" si="0"/>
        <v>2</v>
      </c>
      <c r="E12" s="41" t="s">
        <v>36</v>
      </c>
      <c r="F12" s="37">
        <v>2.555E-9</v>
      </c>
      <c r="G12" s="37">
        <v>4.7712E-5</v>
      </c>
      <c r="H12" s="37">
        <v>2.1557E-4</v>
      </c>
      <c r="I12" s="37">
        <v>7.7851000000000005E-4</v>
      </c>
      <c r="J12" s="37">
        <v>2.3381000000000001E-3</v>
      </c>
      <c r="K12" s="37">
        <v>5.9845999999999996E-3</v>
      </c>
      <c r="L12" s="37">
        <v>5.2388999999999998E-2</v>
      </c>
      <c r="M12" s="37">
        <v>6.318E-2</v>
      </c>
      <c r="N12" s="37">
        <v>7.1395E-2</v>
      </c>
      <c r="O12" s="37">
        <v>7.7561000000000005E-2</v>
      </c>
      <c r="P12" s="37">
        <v>8.2317000000000001E-2</v>
      </c>
      <c r="Q12" s="37">
        <v>9.3668000000000001E-2</v>
      </c>
      <c r="R12" s="37">
        <v>9.5077999999999996E-2</v>
      </c>
      <c r="S12" s="37">
        <v>9.6074000000000007E-2</v>
      </c>
      <c r="T12" s="37">
        <v>9.6721000000000001E-2</v>
      </c>
      <c r="U12" s="37">
        <v>9.7151000000000001E-2</v>
      </c>
      <c r="V12" s="37">
        <v>9.7881999999999997E-2</v>
      </c>
      <c r="W12" s="37">
        <v>9.8086999999999994E-2</v>
      </c>
      <c r="X12" s="37">
        <v>9.8153000000000004E-2</v>
      </c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</row>
    <row r="13" spans="1:69" ht="21" hidden="1" customHeight="1" outlineLevel="1" thickBot="1" x14ac:dyDescent="0.4">
      <c r="A13" s="5">
        <f t="shared" si="1"/>
        <v>1</v>
      </c>
      <c r="B13" s="5">
        <f t="shared" si="0"/>
        <v>0</v>
      </c>
      <c r="C13" s="5">
        <f t="shared" si="0"/>
        <v>0</v>
      </c>
      <c r="D13" s="5">
        <f t="shared" si="0"/>
        <v>0</v>
      </c>
      <c r="E13" s="41" t="s">
        <v>2</v>
      </c>
      <c r="F13" s="37">
        <v>0.2</v>
      </c>
      <c r="G13" s="37">
        <v>0.2</v>
      </c>
      <c r="H13" s="37">
        <v>0.2</v>
      </c>
      <c r="I13" s="37">
        <v>0.2</v>
      </c>
      <c r="J13" s="37">
        <v>0.2</v>
      </c>
      <c r="K13" s="37">
        <v>0.2</v>
      </c>
      <c r="L13" s="37">
        <v>0.2</v>
      </c>
      <c r="M13" s="37">
        <v>0.2</v>
      </c>
      <c r="N13" s="37">
        <v>0.2</v>
      </c>
      <c r="O13" s="37">
        <v>0.2</v>
      </c>
      <c r="P13" s="37">
        <v>0.2</v>
      </c>
      <c r="Q13" s="37">
        <v>0.2</v>
      </c>
      <c r="R13" s="37">
        <v>0.2</v>
      </c>
      <c r="S13" s="37">
        <v>0.2</v>
      </c>
      <c r="T13" s="37">
        <v>0.2</v>
      </c>
      <c r="U13" s="37">
        <v>0.2</v>
      </c>
      <c r="V13" s="37">
        <v>0.2</v>
      </c>
      <c r="W13" s="37">
        <v>0.2</v>
      </c>
      <c r="X13" s="37">
        <v>0.2</v>
      </c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</row>
    <row r="14" spans="1:69" ht="21" hidden="1" customHeight="1" outlineLevel="1" thickBot="1" x14ac:dyDescent="0.4">
      <c r="A14" s="5">
        <f t="shared" si="1"/>
        <v>0</v>
      </c>
      <c r="B14" s="5">
        <f t="shared" si="0"/>
        <v>0</v>
      </c>
      <c r="C14" s="5">
        <f t="shared" si="0"/>
        <v>0</v>
      </c>
      <c r="D14" s="5">
        <f t="shared" si="0"/>
        <v>1</v>
      </c>
      <c r="E14" s="41" t="s">
        <v>25</v>
      </c>
      <c r="F14" s="37">
        <v>0.2</v>
      </c>
      <c r="G14" s="37">
        <v>0.19989999999999999</v>
      </c>
      <c r="H14" s="37">
        <v>0.19957</v>
      </c>
      <c r="I14" s="37">
        <v>0.19844000000000001</v>
      </c>
      <c r="J14" s="37">
        <v>0.19531999999999999</v>
      </c>
      <c r="K14" s="37">
        <v>0.18803</v>
      </c>
      <c r="L14" s="37">
        <v>9.5223000000000002E-2</v>
      </c>
      <c r="M14" s="37">
        <v>7.3639999999999997E-2</v>
      </c>
      <c r="N14" s="37">
        <v>5.7209999999999997E-2</v>
      </c>
      <c r="O14" s="37">
        <v>4.4878000000000001E-2</v>
      </c>
      <c r="P14" s="37">
        <v>3.5367000000000003E-2</v>
      </c>
      <c r="Q14" s="37">
        <v>1.2664999999999999E-2</v>
      </c>
      <c r="R14" s="37">
        <v>9.8434999999999998E-3</v>
      </c>
      <c r="S14" s="37">
        <v>7.8524000000000007E-3</v>
      </c>
      <c r="T14" s="37">
        <v>6.5586999999999998E-3</v>
      </c>
      <c r="U14" s="37">
        <v>5.6974E-3</v>
      </c>
      <c r="V14" s="37">
        <v>4.2364000000000004E-3</v>
      </c>
      <c r="W14" s="37">
        <v>3.8252E-3</v>
      </c>
      <c r="X14" s="37">
        <v>3.6916000000000002E-3</v>
      </c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</row>
    <row r="15" spans="1:69" ht="21" hidden="1" customHeight="1" outlineLevel="1" thickBot="1" x14ac:dyDescent="0.4">
      <c r="A15" s="5">
        <f t="shared" si="1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41" t="s">
        <v>24</v>
      </c>
      <c r="F15" s="37">
        <v>0.12</v>
      </c>
      <c r="G15" s="37">
        <v>0.12</v>
      </c>
      <c r="H15" s="37">
        <v>0.12</v>
      </c>
      <c r="I15" s="37">
        <v>0.12</v>
      </c>
      <c r="J15" s="37">
        <v>0.12</v>
      </c>
      <c r="K15" s="37">
        <v>0.12</v>
      </c>
      <c r="L15" s="37">
        <v>0.12</v>
      </c>
      <c r="M15" s="37">
        <v>0.12</v>
      </c>
      <c r="N15" s="37">
        <v>0.12</v>
      </c>
      <c r="O15" s="37">
        <v>0.12</v>
      </c>
      <c r="P15" s="37">
        <v>0.12</v>
      </c>
      <c r="Q15" s="37">
        <v>0.12</v>
      </c>
      <c r="R15" s="37">
        <v>0.12</v>
      </c>
      <c r="S15" s="37">
        <v>0.12</v>
      </c>
      <c r="T15" s="37">
        <v>0.12</v>
      </c>
      <c r="U15" s="37">
        <v>0.12</v>
      </c>
      <c r="V15" s="37">
        <v>0.12</v>
      </c>
      <c r="W15" s="37">
        <v>0.12</v>
      </c>
      <c r="X15" s="37">
        <v>0.12</v>
      </c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</row>
    <row r="16" spans="1:69" ht="21" hidden="1" customHeight="1" outlineLevel="1" thickBot="1" x14ac:dyDescent="0.4">
      <c r="A16" s="5">
        <f t="shared" si="1"/>
        <v>0</v>
      </c>
      <c r="B16" s="5">
        <f t="shared" si="0"/>
        <v>1</v>
      </c>
      <c r="C16" s="5">
        <f t="shared" si="0"/>
        <v>0</v>
      </c>
      <c r="D16" s="5">
        <f t="shared" si="0"/>
        <v>0</v>
      </c>
      <c r="E16" s="41" t="s">
        <v>26</v>
      </c>
      <c r="F16" s="37">
        <v>0.48</v>
      </c>
      <c r="G16" s="37">
        <v>0.47994999999999999</v>
      </c>
      <c r="H16" s="37">
        <v>0.47977999999999998</v>
      </c>
      <c r="I16" s="37">
        <v>0.47921999999999998</v>
      </c>
      <c r="J16" s="37">
        <v>0.47765999999999997</v>
      </c>
      <c r="K16" s="37">
        <v>0.47399999999999998</v>
      </c>
      <c r="L16" s="37">
        <v>0.42616999999999999</v>
      </c>
      <c r="M16" s="37">
        <v>0.41313</v>
      </c>
      <c r="N16" s="37">
        <v>0.40011999999999998</v>
      </c>
      <c r="O16" s="37">
        <v>0.38482</v>
      </c>
      <c r="P16" s="37">
        <v>0.36423</v>
      </c>
      <c r="Q16" s="37">
        <v>0.20286000000000001</v>
      </c>
      <c r="R16" s="37">
        <v>0.15876999999999999</v>
      </c>
      <c r="S16" s="37">
        <v>0.12138</v>
      </c>
      <c r="T16" s="37">
        <v>9.3656000000000003E-2</v>
      </c>
      <c r="U16" s="37">
        <v>7.3054999999999995E-2</v>
      </c>
      <c r="V16" s="37">
        <v>3.2212999999999999E-2</v>
      </c>
      <c r="W16" s="37">
        <v>1.7951000000000002E-2</v>
      </c>
      <c r="X16" s="37">
        <v>1.1579000000000001E-2</v>
      </c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</row>
    <row r="17" spans="1:49" ht="21" hidden="1" customHeight="1" outlineLevel="1" thickBot="1" x14ac:dyDescent="0.4">
      <c r="A17" s="5">
        <f t="shared" si="1"/>
        <v>0</v>
      </c>
      <c r="B17" s="5">
        <f t="shared" si="0"/>
        <v>0</v>
      </c>
      <c r="C17" s="5">
        <f t="shared" si="0"/>
        <v>0</v>
      </c>
      <c r="D17" s="5">
        <f t="shared" si="0"/>
        <v>0</v>
      </c>
      <c r="E17" s="41" t="s">
        <v>92</v>
      </c>
      <c r="F17" s="37">
        <v>-18.61</v>
      </c>
      <c r="G17" s="37">
        <v>-18.760000000000002</v>
      </c>
      <c r="H17" s="37">
        <v>-18.829999999999998</v>
      </c>
      <c r="I17" s="37">
        <v>-18.899999999999999</v>
      </c>
      <c r="J17" s="37">
        <v>-18.97</v>
      </c>
      <c r="K17" s="37">
        <v>-19.059999999999999</v>
      </c>
      <c r="L17" s="37">
        <v>-19.54</v>
      </c>
      <c r="M17" s="37">
        <v>-19.649999999999999</v>
      </c>
      <c r="N17" s="37">
        <v>-19.760000000000002</v>
      </c>
      <c r="O17" s="37">
        <v>-19.850000000000001</v>
      </c>
      <c r="P17" s="37">
        <v>-19.95</v>
      </c>
      <c r="Q17" s="37">
        <v>-20.420000000000002</v>
      </c>
      <c r="R17" s="37">
        <v>-20.54</v>
      </c>
      <c r="S17" s="37">
        <v>-20.66</v>
      </c>
      <c r="T17" s="37">
        <v>-20.76</v>
      </c>
      <c r="U17" s="37">
        <v>-20.85</v>
      </c>
      <c r="V17" s="37">
        <v>-21.12</v>
      </c>
      <c r="W17" s="37">
        <v>-21.34</v>
      </c>
      <c r="X17" s="37">
        <v>-21.53</v>
      </c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</row>
    <row r="18" spans="1:49" ht="21" hidden="1" customHeight="1" outlineLevel="1" thickBot="1" x14ac:dyDescent="0.4">
      <c r="A18" s="5">
        <f t="shared" si="1"/>
        <v>0</v>
      </c>
      <c r="B18" s="5">
        <f t="shared" si="0"/>
        <v>0</v>
      </c>
      <c r="C18" s="5">
        <f t="shared" si="0"/>
        <v>0</v>
      </c>
      <c r="D18" s="5">
        <f t="shared" si="0"/>
        <v>1</v>
      </c>
      <c r="E18" s="41" t="s">
        <v>70</v>
      </c>
      <c r="F18" s="37">
        <v>-6.2460000000000004</v>
      </c>
      <c r="G18" s="37">
        <v>-7.1479999999999997</v>
      </c>
      <c r="H18" s="37">
        <v>-7.3440000000000003</v>
      </c>
      <c r="I18" s="37">
        <v>-7.5309999999999997</v>
      </c>
      <c r="J18" s="37">
        <v>-7.7160000000000002</v>
      </c>
      <c r="K18" s="37">
        <v>-7.907</v>
      </c>
      <c r="L18" s="37">
        <v>-8.98</v>
      </c>
      <c r="M18" s="37">
        <v>-9.3170000000000002</v>
      </c>
      <c r="N18" s="37">
        <v>-9.6470000000000002</v>
      </c>
      <c r="O18" s="37">
        <v>-9.9629999999999992</v>
      </c>
      <c r="P18" s="37">
        <v>-10.26</v>
      </c>
      <c r="Q18" s="37">
        <v>-11.28</v>
      </c>
      <c r="R18" s="37">
        <v>-11.49</v>
      </c>
      <c r="S18" s="37">
        <v>-11.66</v>
      </c>
      <c r="T18" s="37">
        <v>-11.81</v>
      </c>
      <c r="U18" s="37">
        <v>-11.94</v>
      </c>
      <c r="V18" s="37">
        <v>-12.34</v>
      </c>
      <c r="W18" s="37">
        <v>-12.65</v>
      </c>
      <c r="X18" s="37">
        <v>-12.92</v>
      </c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</row>
    <row r="19" spans="1:49" ht="21" hidden="1" customHeight="1" outlineLevel="1" thickBot="1" x14ac:dyDescent="0.4">
      <c r="A19" s="5">
        <f t="shared" si="1"/>
        <v>0</v>
      </c>
      <c r="B19" s="5">
        <f t="shared" si="0"/>
        <v>0</v>
      </c>
      <c r="C19" s="5">
        <f t="shared" si="0"/>
        <v>1</v>
      </c>
      <c r="D19" s="5">
        <f t="shared" si="0"/>
        <v>0</v>
      </c>
      <c r="E19" s="41" t="s">
        <v>71</v>
      </c>
      <c r="F19" s="37">
        <v>5.367</v>
      </c>
      <c r="G19" s="37">
        <v>0.73660000000000003</v>
      </c>
      <c r="H19" s="37">
        <v>-5.534E-2</v>
      </c>
      <c r="I19" s="37">
        <v>-0.75560000000000005</v>
      </c>
      <c r="J19" s="37">
        <v>-1.3779999999999999</v>
      </c>
      <c r="K19" s="37">
        <v>-1.93</v>
      </c>
      <c r="L19" s="37">
        <v>-3.5449999999999999</v>
      </c>
      <c r="M19" s="37">
        <v>-3.8580000000000001</v>
      </c>
      <c r="N19" s="37">
        <v>-4.1520000000000001</v>
      </c>
      <c r="O19" s="37">
        <v>-4.423</v>
      </c>
      <c r="P19" s="37">
        <v>-4.6680000000000001</v>
      </c>
      <c r="Q19" s="37">
        <v>-5.2690000000000001</v>
      </c>
      <c r="R19" s="37">
        <v>-5.3449999999999998</v>
      </c>
      <c r="S19" s="37">
        <v>-5.4130000000000003</v>
      </c>
      <c r="T19" s="37">
        <v>-5.4939999999999998</v>
      </c>
      <c r="U19" s="37">
        <v>-5.5880000000000001</v>
      </c>
      <c r="V19" s="37">
        <v>-6.0519999999999996</v>
      </c>
      <c r="W19" s="37">
        <v>-6.5549999999999997</v>
      </c>
      <c r="X19" s="37">
        <v>-7.0309999999999997</v>
      </c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</row>
    <row r="20" spans="1:49" ht="21" hidden="1" customHeight="1" outlineLevel="1" thickBot="1" x14ac:dyDescent="0.4">
      <c r="A20" s="5">
        <f t="shared" si="1"/>
        <v>0</v>
      </c>
      <c r="B20" s="5">
        <f t="shared" si="1"/>
        <v>1</v>
      </c>
      <c r="C20" s="5">
        <f t="shared" si="1"/>
        <v>0</v>
      </c>
      <c r="D20" s="5">
        <f t="shared" si="1"/>
        <v>0</v>
      </c>
      <c r="E20" s="41" t="s">
        <v>72</v>
      </c>
      <c r="F20" s="37">
        <v>-4.8239999999999998</v>
      </c>
      <c r="G20" s="37">
        <v>-5.5949999999999998</v>
      </c>
      <c r="H20" s="37">
        <v>-5.7880000000000003</v>
      </c>
      <c r="I20" s="37">
        <v>-5.9749999999999996</v>
      </c>
      <c r="J20" s="37">
        <v>-6.1550000000000002</v>
      </c>
      <c r="K20" s="37">
        <v>-6.3259999999999996</v>
      </c>
      <c r="L20" s="37">
        <v>-6.8819999999999997</v>
      </c>
      <c r="M20" s="37">
        <v>-7.0060000000000002</v>
      </c>
      <c r="N20" s="37">
        <v>-7.1319999999999997</v>
      </c>
      <c r="O20" s="37">
        <v>-7.2610000000000001</v>
      </c>
      <c r="P20" s="37">
        <v>-7.3940000000000001</v>
      </c>
      <c r="Q20" s="37">
        <v>-8.0410000000000004</v>
      </c>
      <c r="R20" s="37">
        <v>-8.2520000000000007</v>
      </c>
      <c r="S20" s="37">
        <v>-8.4819999999999993</v>
      </c>
      <c r="T20" s="37">
        <v>-8.7279999999999998</v>
      </c>
      <c r="U20" s="37">
        <v>-8.9819999999999993</v>
      </c>
      <c r="V20" s="37">
        <v>-9.968</v>
      </c>
      <c r="W20" s="37">
        <v>-10.83</v>
      </c>
      <c r="X20" s="37">
        <v>-11.56</v>
      </c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</row>
    <row r="21" spans="1:49" ht="21" hidden="1" customHeight="1" outlineLevel="1" thickBot="1" x14ac:dyDescent="0.4">
      <c r="A21" s="5">
        <f t="shared" si="1"/>
        <v>0</v>
      </c>
      <c r="B21" s="5">
        <f t="shared" si="1"/>
        <v>0</v>
      </c>
      <c r="C21" s="5">
        <f t="shared" si="1"/>
        <v>0</v>
      </c>
      <c r="D21" s="5">
        <f t="shared" si="1"/>
        <v>0</v>
      </c>
      <c r="E21" s="41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</row>
    <row r="22" spans="1:49" ht="21" hidden="1" customHeight="1" outlineLevel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41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</row>
    <row r="23" spans="1:49" ht="21" hidden="1" customHeight="1" outlineLevel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41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</row>
    <row r="24" spans="1:49" ht="21" hidden="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41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</row>
    <row r="25" spans="1:49" ht="21" hidden="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41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</row>
    <row r="26" spans="1:49" ht="21" hidden="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41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</row>
    <row r="27" spans="1:49" ht="21" hidden="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41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</row>
    <row r="28" spans="1:49" ht="21" hidden="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41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</row>
    <row r="29" spans="1:49" ht="21" hidden="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41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</row>
    <row r="30" spans="1:49" ht="21" hidden="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41"/>
    </row>
    <row r="31" spans="1:49" ht="21" hidden="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41"/>
    </row>
    <row r="32" spans="1:49" ht="21" hidden="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41"/>
    </row>
    <row r="33" spans="1:64" ht="21" hidden="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41">
        <v>1</v>
      </c>
    </row>
    <row r="34" spans="1:64" ht="21" hidden="1" customHeight="1" outlineLevel="1" x14ac:dyDescent="0.35">
      <c r="E34">
        <f>$A$2</f>
        <v>460</v>
      </c>
      <c r="F34">
        <f>MIN(F4:AC22)</f>
        <v>-21.53</v>
      </c>
    </row>
    <row r="35" spans="1:64" ht="21" customHeight="1" collapsed="1" thickBot="1" x14ac:dyDescent="0.4">
      <c r="E35">
        <f>$A$2</f>
        <v>460</v>
      </c>
      <c r="F35" s="85">
        <f>MAX(F4:AC22)</f>
        <v>5.367</v>
      </c>
    </row>
    <row r="36" spans="1:64" ht="21" customHeight="1" thickTop="1" thickBot="1" x14ac:dyDescent="0.45">
      <c r="A36" s="10" t="s">
        <v>12</v>
      </c>
      <c r="B36" s="11"/>
      <c r="C36" s="11"/>
      <c r="D36" s="14"/>
      <c r="E36" s="15"/>
      <c r="F36" s="58" t="str">
        <f>ALL!F36</f>
        <v>Общая энергия гиббса смесей, КДж</v>
      </c>
      <c r="G36" s="58"/>
      <c r="H36" s="58"/>
      <c r="I36" s="58"/>
      <c r="J36" s="58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40"/>
    </row>
    <row r="37" spans="1:64" ht="21" customHeight="1" outlineLevel="1" thickTop="1" thickBot="1" x14ac:dyDescent="0.4">
      <c r="A37" s="16" t="s">
        <v>2</v>
      </c>
      <c r="B37" s="16" t="s">
        <v>9</v>
      </c>
      <c r="C37" s="16" t="s">
        <v>10</v>
      </c>
      <c r="D37" s="16" t="s">
        <v>8</v>
      </c>
      <c r="E37" s="16" t="s">
        <v>14</v>
      </c>
      <c r="F37" s="6">
        <f>F3</f>
        <v>298.2</v>
      </c>
      <c r="G37" s="6">
        <f t="shared" ref="G37:X37" si="3">G3</f>
        <v>431.7</v>
      </c>
      <c r="H37" s="6">
        <f t="shared" si="3"/>
        <v>465.1</v>
      </c>
      <c r="I37" s="6">
        <f t="shared" si="3"/>
        <v>498.5</v>
      </c>
      <c r="J37" s="6">
        <f t="shared" si="3"/>
        <v>531.79999999999995</v>
      </c>
      <c r="K37" s="6">
        <f t="shared" si="3"/>
        <v>565.20000000000005</v>
      </c>
      <c r="L37" s="6">
        <f t="shared" si="3"/>
        <v>698.8</v>
      </c>
      <c r="M37" s="6">
        <f t="shared" si="3"/>
        <v>732.2</v>
      </c>
      <c r="N37" s="6">
        <f t="shared" si="3"/>
        <v>765.5</v>
      </c>
      <c r="O37" s="6">
        <f t="shared" si="3"/>
        <v>798.9</v>
      </c>
      <c r="P37" s="6">
        <f t="shared" si="3"/>
        <v>832.3</v>
      </c>
      <c r="Q37" s="6">
        <f t="shared" si="3"/>
        <v>965.8</v>
      </c>
      <c r="R37" s="6">
        <f t="shared" si="3"/>
        <v>999.2</v>
      </c>
      <c r="S37" s="6">
        <f t="shared" si="3"/>
        <v>1033</v>
      </c>
      <c r="T37" s="6">
        <f t="shared" si="3"/>
        <v>1066</v>
      </c>
      <c r="U37" s="6">
        <f t="shared" si="3"/>
        <v>1099</v>
      </c>
      <c r="V37" s="6">
        <f t="shared" si="3"/>
        <v>1233</v>
      </c>
      <c r="W37" s="6">
        <f t="shared" si="3"/>
        <v>1366</v>
      </c>
      <c r="X37" s="6">
        <f t="shared" si="3"/>
        <v>1500</v>
      </c>
    </row>
    <row r="38" spans="1:64" ht="21" customHeight="1" outlineLevel="1" thickTop="1" thickBot="1" x14ac:dyDescent="0.4">
      <c r="A38" s="17">
        <f>A43/$B43</f>
        <v>1.6666666666666667</v>
      </c>
      <c r="B38" s="17">
        <f>B43/$B43</f>
        <v>1</v>
      </c>
      <c r="C38" s="17">
        <f>C43/$B43</f>
        <v>1.6666666666666667</v>
      </c>
      <c r="D38" s="17">
        <f>D43/$B43</f>
        <v>4</v>
      </c>
      <c r="E38" s="17">
        <f>SUM(A38:D38)</f>
        <v>8.3333333333333339</v>
      </c>
      <c r="F38" s="86">
        <f>($A$38*F$17+ $B$38*F$19+$C$38*F$18+$D$38*F$20)*F$37*$B$2/1000</f>
        <v>-137.24794870709999</v>
      </c>
      <c r="G38" s="86">
        <f>($A$38*G$17+ $B$38*G$19+$C$38*G$18+$D$38*G$20)*G$37*$B$2/1000</f>
        <v>-232.67514456981002</v>
      </c>
      <c r="H38" s="86">
        <f>($A$38*H$17+ $B$38*H$19+$C$38*H$18+$D$38*H$20)*H$37*$B$2/1000</f>
        <v>-258.43915590829306</v>
      </c>
      <c r="I38" s="86">
        <f>($A$38*I$17+ $B$38*I$19+$C$38*I$18+$D$38*I$20)*I$37*$B$2/1000</f>
        <v>-284.77638449695002</v>
      </c>
      <c r="J38" s="86">
        <f>($A$38*J$17+ $B$38*J$19+$C$38*J$18+$D$38*J$20)*J$37*$B$2/1000</f>
        <v>-311.61438738879997</v>
      </c>
      <c r="K38" s="86">
        <f>($A$38*K$17+ $B$38*K$19+$C$38*K$18+$D$38*K$20)*K$37*$B$2/1000</f>
        <v>-339.19477341660001</v>
      </c>
      <c r="L38" s="86">
        <f>($A$38*L$17+ $B$38*L$19+$C$38*L$18+$D$38*L$20)*L$37*$B$2/1000</f>
        <v>-456.71636411980001</v>
      </c>
      <c r="M38" s="86">
        <f>($A$38*M$17+ $B$38*M$19+$C$38*M$18+$D$38*M$20)*M$37*$B$2/1000</f>
        <v>-488.00624159630007</v>
      </c>
      <c r="N38" s="86">
        <f>($A$38*N$17+ $B$38*N$19+$C$38*N$18+$D$38*N$20)*N$37*$B$2/1000</f>
        <v>-519.94701499375003</v>
      </c>
      <c r="O38" s="86">
        <f>($A$38*O$17+ $B$38*O$19+$C$38*O$18+$D$38*O$20)*O$37*$B$2/1000</f>
        <v>-552.35548067910008</v>
      </c>
      <c r="P38" s="86">
        <f>($A$38*P$17+ $B$38*P$19+$C$38*P$18+$D$38*P$20)*P$37*$B$2/1000</f>
        <v>-585.40387545990006</v>
      </c>
      <c r="Q38" s="86">
        <f>($A$38*Q$17+ $B$38*Q$19+$C$38*Q$18+$D$38*Q$20)*Q$37*$B$2/1000</f>
        <v>-724.85166404530014</v>
      </c>
      <c r="R38" s="86">
        <f>($A$38*R$17+ $B$38*R$19+$C$38*R$18+$D$38*R$20)*R$37*$B$2/1000</f>
        <v>-762.13155010520018</v>
      </c>
      <c r="S38" s="86">
        <f>($A$38*S$17+ $B$38*S$19+$C$38*S$18+$D$38*S$20)*S$37*$B$2/1000</f>
        <v>-800.54932426850007</v>
      </c>
      <c r="T38" s="86">
        <f>($A$38*T$17+ $B$38*T$19+$C$38*T$18+$D$38*T$20)*T$37*$B$2/1000</f>
        <v>-839.25589649200003</v>
      </c>
      <c r="U38" s="86">
        <f>($A$38*U$17+ $B$38*U$19+$C$38*U$18+$D$38*U$20)*U$37*$B$2/1000</f>
        <v>-878.72985549300006</v>
      </c>
      <c r="V38" s="86">
        <f>($A$38*V$17+ $B$38*V$19+$C$38*V$18+$D$38*V$20)*V$37*$B$2/1000</f>
        <v>-1042.5101901840001</v>
      </c>
      <c r="W38" s="86">
        <f>($A$38*W$17+ $B$38*W$19+$C$38*W$18+$D$38*W$20)*W$37*$B$2/1000</f>
        <v>-1209.869085675</v>
      </c>
      <c r="X38" s="86">
        <f>($A$38*X$17+ $B$38*X$19+$C$38*X$18+$D$38*X$20)*X$37*$B$2/1000</f>
        <v>-1380.4689067500001</v>
      </c>
    </row>
    <row r="39" spans="1:64" ht="21" customHeight="1" outlineLevel="1" x14ac:dyDescent="0.35">
      <c r="A39" s="17">
        <f>A43/$B43</f>
        <v>1.6666666666666667</v>
      </c>
      <c r="B39" s="17">
        <f>B43/$B43</f>
        <v>1</v>
      </c>
      <c r="C39" s="17">
        <f>C43/$B43</f>
        <v>1.6666666666666667</v>
      </c>
      <c r="D39" s="17">
        <f>D43/$B43</f>
        <v>4</v>
      </c>
      <c r="E39" s="17">
        <f>SUM(A38:D38)</f>
        <v>8.3333333333333339</v>
      </c>
      <c r="F39" s="86">
        <f>( $B$38*F$19+$C$38*F$18+$D$38*F$20)*F$37*$B$2/1000</f>
        <v>-60.345724742100003</v>
      </c>
      <c r="G39" s="86">
        <f t="shared" ref="G39:X39" si="4">( $B$38*G$19+$C$38*G$18+$D$38*G$20)*G$37*$B$2/1000</f>
        <v>-120.44752017981</v>
      </c>
      <c r="H39" s="86">
        <f t="shared" si="4"/>
        <v>-137.07748511079299</v>
      </c>
      <c r="I39" s="86">
        <f t="shared" si="4"/>
        <v>-154.21586962194999</v>
      </c>
      <c r="J39" s="86">
        <f t="shared" si="4"/>
        <v>-171.81651844380005</v>
      </c>
      <c r="K39" s="86">
        <f t="shared" si="4"/>
        <v>-189.91191687660006</v>
      </c>
      <c r="L39" s="86">
        <f t="shared" si="4"/>
        <v>-267.49840977980006</v>
      </c>
      <c r="M39" s="86">
        <f t="shared" si="4"/>
        <v>-288.62827312130008</v>
      </c>
      <c r="N39" s="86">
        <f t="shared" si="4"/>
        <v>-310.33458989375004</v>
      </c>
      <c r="O39" s="86">
        <f t="shared" si="4"/>
        <v>-332.60095919160005</v>
      </c>
      <c r="P39" s="86">
        <f t="shared" si="4"/>
        <v>-355.3086103224</v>
      </c>
      <c r="Q39" s="86">
        <f t="shared" si="4"/>
        <v>-451.55909317530006</v>
      </c>
      <c r="R39" s="86">
        <f t="shared" si="4"/>
        <v>-477.72620654520006</v>
      </c>
      <c r="S39" s="86">
        <f t="shared" si="4"/>
        <v>-504.80560791850002</v>
      </c>
      <c r="T39" s="86">
        <f t="shared" si="4"/>
        <v>-532.58720429200002</v>
      </c>
      <c r="U39" s="86">
        <f t="shared" si="4"/>
        <v>-561.19702186800009</v>
      </c>
      <c r="V39" s="86">
        <f t="shared" si="4"/>
        <v>-681.6475869840001</v>
      </c>
      <c r="W39" s="86">
        <f t="shared" si="4"/>
        <v>-805.91686337500016</v>
      </c>
      <c r="X39" s="86">
        <f t="shared" si="4"/>
        <v>-932.94094425000003</v>
      </c>
    </row>
    <row r="40" spans="1:64" ht="21" customHeight="1" outlineLevel="1" x14ac:dyDescent="0.35"/>
    <row r="41" spans="1:64" ht="21" customHeight="1" outlineLevel="1" thickBot="1" x14ac:dyDescent="0.4">
      <c r="A41" s="14" t="s">
        <v>13</v>
      </c>
      <c r="B41" s="14"/>
      <c r="C41" s="14"/>
      <c r="D41" s="14"/>
    </row>
    <row r="42" spans="1:64" ht="2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64" ht="21" customHeight="1" outlineLevel="1" thickTop="1" x14ac:dyDescent="0.35">
      <c r="A43" s="108">
        <v>0.25</v>
      </c>
      <c r="B43" s="108">
        <v>0.15</v>
      </c>
      <c r="C43" s="108">
        <v>0.25</v>
      </c>
      <c r="D43" s="108">
        <v>0.6</v>
      </c>
      <c r="W43" s="1"/>
    </row>
    <row r="44" spans="1:64" ht="21" customHeight="1" outlineLevel="1" x14ac:dyDescent="0.35"/>
    <row r="45" spans="1:64" ht="21" customHeight="1" thickBot="1" x14ac:dyDescent="0.4"/>
    <row r="46" spans="1:64" ht="21" customHeight="1" thickBot="1" x14ac:dyDescent="0.45">
      <c r="A46" s="59"/>
      <c r="B46" s="59"/>
      <c r="C46" s="59"/>
      <c r="D46" s="59"/>
      <c r="E46" s="61"/>
      <c r="F46" s="58" t="str">
        <f>ALL!F46</f>
        <v>Удельная энергия Гиббса отдельных веществ из потенциалов. Дж</v>
      </c>
      <c r="G46" s="58"/>
      <c r="H46" s="58"/>
      <c r="I46" s="58"/>
      <c r="J46" s="58"/>
      <c r="K46" s="58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</row>
    <row r="47" spans="1:64" ht="21" hidden="1" customHeight="1" outlineLevel="1" thickTop="1" thickBot="1" x14ac:dyDescent="0.4">
      <c r="A47" s="23" t="s">
        <v>2</v>
      </c>
      <c r="B47" s="23" t="s">
        <v>8</v>
      </c>
      <c r="C47" s="23" t="s">
        <v>9</v>
      </c>
      <c r="D47" s="24" t="s">
        <v>10</v>
      </c>
      <c r="E47" s="36">
        <f t="shared" ref="E47:X47" si="5">E3</f>
        <v>0</v>
      </c>
      <c r="F47" s="36">
        <f t="shared" si="5"/>
        <v>298.2</v>
      </c>
      <c r="G47" s="36">
        <f t="shared" si="5"/>
        <v>431.7</v>
      </c>
      <c r="H47" s="36">
        <f t="shared" si="5"/>
        <v>465.1</v>
      </c>
      <c r="I47" s="36">
        <f t="shared" si="5"/>
        <v>498.5</v>
      </c>
      <c r="J47" s="36">
        <f t="shared" si="5"/>
        <v>531.79999999999995</v>
      </c>
      <c r="K47" s="36">
        <f t="shared" si="5"/>
        <v>565.20000000000005</v>
      </c>
      <c r="L47" s="36">
        <f t="shared" si="5"/>
        <v>698.8</v>
      </c>
      <c r="M47" s="36">
        <f t="shared" si="5"/>
        <v>732.2</v>
      </c>
      <c r="N47" s="36">
        <f t="shared" si="5"/>
        <v>765.5</v>
      </c>
      <c r="O47" s="36">
        <f t="shared" si="5"/>
        <v>798.9</v>
      </c>
      <c r="P47" s="36">
        <f t="shared" si="5"/>
        <v>832.3</v>
      </c>
      <c r="Q47" s="36">
        <f t="shared" si="5"/>
        <v>965.8</v>
      </c>
      <c r="R47" s="36">
        <f t="shared" si="5"/>
        <v>999.2</v>
      </c>
      <c r="S47" s="36">
        <f t="shared" si="5"/>
        <v>1033</v>
      </c>
      <c r="T47" s="36">
        <f t="shared" si="5"/>
        <v>1066</v>
      </c>
      <c r="U47" s="36">
        <f t="shared" si="5"/>
        <v>1099</v>
      </c>
      <c r="V47" s="36">
        <f t="shared" si="5"/>
        <v>1233</v>
      </c>
      <c r="W47" s="36">
        <f t="shared" si="5"/>
        <v>1366</v>
      </c>
      <c r="X47" s="36">
        <f t="shared" si="5"/>
        <v>1500</v>
      </c>
    </row>
    <row r="48" spans="1:64" ht="21" hidden="1" customHeight="1" outlineLevel="1" thickTop="1" thickBot="1" x14ac:dyDescent="0.4">
      <c r="A48" s="5">
        <f t="shared" ref="A48:E57" si="6">A4</f>
        <v>0</v>
      </c>
      <c r="B48" s="5">
        <f t="shared" si="6"/>
        <v>3</v>
      </c>
      <c r="C48" s="5">
        <f t="shared" si="6"/>
        <v>0</v>
      </c>
      <c r="D48" s="5">
        <f t="shared" si="6"/>
        <v>0</v>
      </c>
      <c r="E48" s="41" t="str">
        <f t="shared" si="6"/>
        <v>Se3</v>
      </c>
      <c r="F48" s="46">
        <f>$A48*F$17 + $B48*F$20 + $C48*F$19 + $D48*F$18</f>
        <v>-14.472</v>
      </c>
      <c r="G48" s="46">
        <f t="shared" ref="G48:X62" si="7">$A48*G$17 + $B48*G$20 + $C48*G$19 + $D48*G$18</f>
        <v>-16.785</v>
      </c>
      <c r="H48" s="46">
        <f t="shared" si="7"/>
        <v>-17.364000000000001</v>
      </c>
      <c r="I48" s="46">
        <f t="shared" si="7"/>
        <v>-17.924999999999997</v>
      </c>
      <c r="J48" s="46">
        <f t="shared" si="7"/>
        <v>-18.465</v>
      </c>
      <c r="K48" s="46">
        <f t="shared" si="7"/>
        <v>-18.977999999999998</v>
      </c>
      <c r="L48" s="46">
        <f t="shared" si="7"/>
        <v>-20.646000000000001</v>
      </c>
      <c r="M48" s="46">
        <f t="shared" si="7"/>
        <v>-21.018000000000001</v>
      </c>
      <c r="N48" s="46">
        <f t="shared" si="7"/>
        <v>-21.396000000000001</v>
      </c>
      <c r="O48" s="46">
        <f t="shared" si="7"/>
        <v>-21.783000000000001</v>
      </c>
      <c r="P48" s="46">
        <f t="shared" si="7"/>
        <v>-22.182000000000002</v>
      </c>
      <c r="Q48" s="46">
        <f t="shared" si="7"/>
        <v>-24.123000000000001</v>
      </c>
      <c r="R48" s="46">
        <f t="shared" si="7"/>
        <v>-24.756</v>
      </c>
      <c r="S48" s="46">
        <f t="shared" si="7"/>
        <v>-25.445999999999998</v>
      </c>
      <c r="T48" s="46">
        <f t="shared" si="7"/>
        <v>-26.183999999999997</v>
      </c>
      <c r="U48" s="46">
        <f t="shared" si="7"/>
        <v>-26.945999999999998</v>
      </c>
      <c r="V48" s="46">
        <f t="shared" si="7"/>
        <v>-29.904</v>
      </c>
      <c r="W48" s="46">
        <f t="shared" si="7"/>
        <v>-32.49</v>
      </c>
      <c r="X48" s="46">
        <f t="shared" si="7"/>
        <v>-34.68</v>
      </c>
    </row>
    <row r="49" spans="1:24" ht="21" hidden="1" customHeight="1" outlineLevel="1" thickBot="1" x14ac:dyDescent="0.4">
      <c r="A49" s="5">
        <f t="shared" si="6"/>
        <v>0</v>
      </c>
      <c r="B49" s="5">
        <f t="shared" si="6"/>
        <v>4</v>
      </c>
      <c r="C49" s="5">
        <f t="shared" si="6"/>
        <v>0</v>
      </c>
      <c r="D49" s="5">
        <f t="shared" si="6"/>
        <v>0</v>
      </c>
      <c r="E49" s="41" t="str">
        <f t="shared" si="6"/>
        <v>Se4</v>
      </c>
      <c r="F49" s="46">
        <f t="shared" ref="F49:U64" si="8">$A49*F$17 + $B49*F$20 + $C49*F$19 + $D49*F$18</f>
        <v>-19.295999999999999</v>
      </c>
      <c r="G49" s="46">
        <f t="shared" si="7"/>
        <v>-22.38</v>
      </c>
      <c r="H49" s="46">
        <f t="shared" si="7"/>
        <v>-23.152000000000001</v>
      </c>
      <c r="I49" s="46">
        <f t="shared" si="7"/>
        <v>-23.9</v>
      </c>
      <c r="J49" s="46">
        <f t="shared" si="7"/>
        <v>-24.62</v>
      </c>
      <c r="K49" s="46">
        <f t="shared" si="7"/>
        <v>-25.303999999999998</v>
      </c>
      <c r="L49" s="46">
        <f t="shared" si="7"/>
        <v>-27.527999999999999</v>
      </c>
      <c r="M49" s="46">
        <f t="shared" si="7"/>
        <v>-28.024000000000001</v>
      </c>
      <c r="N49" s="46">
        <f t="shared" si="7"/>
        <v>-28.527999999999999</v>
      </c>
      <c r="O49" s="46">
        <f t="shared" si="7"/>
        <v>-29.044</v>
      </c>
      <c r="P49" s="46">
        <f t="shared" si="7"/>
        <v>-29.576000000000001</v>
      </c>
      <c r="Q49" s="46">
        <f t="shared" si="7"/>
        <v>-32.164000000000001</v>
      </c>
      <c r="R49" s="46">
        <f t="shared" si="7"/>
        <v>-33.008000000000003</v>
      </c>
      <c r="S49" s="46">
        <f t="shared" si="7"/>
        <v>-33.927999999999997</v>
      </c>
      <c r="T49" s="46">
        <f t="shared" si="7"/>
        <v>-34.911999999999999</v>
      </c>
      <c r="U49" s="46">
        <f t="shared" si="7"/>
        <v>-35.927999999999997</v>
      </c>
      <c r="V49" s="46">
        <f t="shared" si="7"/>
        <v>-39.872</v>
      </c>
      <c r="W49" s="46">
        <f t="shared" si="7"/>
        <v>-43.32</v>
      </c>
      <c r="X49" s="46">
        <f t="shared" si="7"/>
        <v>-46.24</v>
      </c>
    </row>
    <row r="50" spans="1:24" ht="21" hidden="1" customHeight="1" outlineLevel="1" thickBot="1" x14ac:dyDescent="0.4">
      <c r="A50" s="5">
        <f t="shared" si="6"/>
        <v>0</v>
      </c>
      <c r="B50" s="5">
        <f t="shared" si="6"/>
        <v>5</v>
      </c>
      <c r="C50" s="5">
        <f t="shared" si="6"/>
        <v>0</v>
      </c>
      <c r="D50" s="5">
        <f t="shared" si="6"/>
        <v>0</v>
      </c>
      <c r="E50" s="41" t="str">
        <f t="shared" si="6"/>
        <v>Se5</v>
      </c>
      <c r="F50" s="46">
        <f t="shared" si="8"/>
        <v>-24.119999999999997</v>
      </c>
      <c r="G50" s="46">
        <f t="shared" si="7"/>
        <v>-27.974999999999998</v>
      </c>
      <c r="H50" s="46">
        <f t="shared" si="7"/>
        <v>-28.94</v>
      </c>
      <c r="I50" s="46">
        <f t="shared" si="7"/>
        <v>-29.875</v>
      </c>
      <c r="J50" s="46">
        <f t="shared" si="7"/>
        <v>-30.775000000000002</v>
      </c>
      <c r="K50" s="46">
        <f t="shared" si="7"/>
        <v>-31.63</v>
      </c>
      <c r="L50" s="46">
        <f t="shared" si="7"/>
        <v>-34.409999999999997</v>
      </c>
      <c r="M50" s="46">
        <f t="shared" si="7"/>
        <v>-35.03</v>
      </c>
      <c r="N50" s="46">
        <f t="shared" si="7"/>
        <v>-35.659999999999997</v>
      </c>
      <c r="O50" s="46">
        <f t="shared" si="7"/>
        <v>-36.305</v>
      </c>
      <c r="P50" s="46">
        <f t="shared" si="7"/>
        <v>-36.97</v>
      </c>
      <c r="Q50" s="46">
        <f t="shared" si="7"/>
        <v>-40.204999999999998</v>
      </c>
      <c r="R50" s="46">
        <f t="shared" si="7"/>
        <v>-41.260000000000005</v>
      </c>
      <c r="S50" s="46">
        <f t="shared" si="7"/>
        <v>-42.41</v>
      </c>
      <c r="T50" s="46">
        <f t="shared" si="7"/>
        <v>-43.64</v>
      </c>
      <c r="U50" s="46">
        <f t="shared" si="7"/>
        <v>-44.91</v>
      </c>
      <c r="V50" s="46">
        <f t="shared" si="7"/>
        <v>-49.84</v>
      </c>
      <c r="W50" s="46">
        <f t="shared" si="7"/>
        <v>-54.15</v>
      </c>
      <c r="X50" s="46">
        <f t="shared" si="7"/>
        <v>-57.800000000000004</v>
      </c>
    </row>
    <row r="51" spans="1:24" ht="21" hidden="1" customHeight="1" outlineLevel="1" thickBot="1" x14ac:dyDescent="0.4">
      <c r="A51" s="5">
        <f t="shared" si="6"/>
        <v>0</v>
      </c>
      <c r="B51" s="5">
        <f t="shared" si="6"/>
        <v>6</v>
      </c>
      <c r="C51" s="5">
        <f t="shared" si="6"/>
        <v>0</v>
      </c>
      <c r="D51" s="5">
        <f t="shared" si="6"/>
        <v>0</v>
      </c>
      <c r="E51" s="41" t="str">
        <f t="shared" si="6"/>
        <v>Se6</v>
      </c>
      <c r="F51" s="46">
        <f t="shared" si="8"/>
        <v>-28.943999999999999</v>
      </c>
      <c r="G51" s="46">
        <f t="shared" si="7"/>
        <v>-33.57</v>
      </c>
      <c r="H51" s="46">
        <f t="shared" si="7"/>
        <v>-34.728000000000002</v>
      </c>
      <c r="I51" s="46">
        <f t="shared" si="7"/>
        <v>-35.849999999999994</v>
      </c>
      <c r="J51" s="46">
        <f t="shared" si="7"/>
        <v>-36.93</v>
      </c>
      <c r="K51" s="46">
        <f t="shared" si="7"/>
        <v>-37.955999999999996</v>
      </c>
      <c r="L51" s="46">
        <f t="shared" si="7"/>
        <v>-41.292000000000002</v>
      </c>
      <c r="M51" s="46">
        <f t="shared" si="7"/>
        <v>-42.036000000000001</v>
      </c>
      <c r="N51" s="46">
        <f t="shared" si="7"/>
        <v>-42.792000000000002</v>
      </c>
      <c r="O51" s="46">
        <f t="shared" si="7"/>
        <v>-43.566000000000003</v>
      </c>
      <c r="P51" s="46">
        <f t="shared" si="7"/>
        <v>-44.364000000000004</v>
      </c>
      <c r="Q51" s="46">
        <f t="shared" si="7"/>
        <v>-48.246000000000002</v>
      </c>
      <c r="R51" s="46">
        <f t="shared" si="7"/>
        <v>-49.512</v>
      </c>
      <c r="S51" s="46">
        <f t="shared" si="7"/>
        <v>-50.891999999999996</v>
      </c>
      <c r="T51" s="46">
        <f t="shared" si="7"/>
        <v>-52.367999999999995</v>
      </c>
      <c r="U51" s="46">
        <f t="shared" si="7"/>
        <v>-53.891999999999996</v>
      </c>
      <c r="V51" s="46">
        <f t="shared" si="7"/>
        <v>-59.808</v>
      </c>
      <c r="W51" s="46">
        <f t="shared" si="7"/>
        <v>-64.98</v>
      </c>
      <c r="X51" s="46">
        <f t="shared" si="7"/>
        <v>-69.36</v>
      </c>
    </row>
    <row r="52" spans="1:24" ht="21" hidden="1" customHeight="1" outlineLevel="1" thickBot="1" x14ac:dyDescent="0.4">
      <c r="A52" s="5">
        <f t="shared" si="6"/>
        <v>0</v>
      </c>
      <c r="B52" s="5">
        <f t="shared" si="6"/>
        <v>7</v>
      </c>
      <c r="C52" s="5">
        <f t="shared" si="6"/>
        <v>0</v>
      </c>
      <c r="D52" s="5">
        <f t="shared" si="6"/>
        <v>0</v>
      </c>
      <c r="E52" s="41" t="str">
        <f t="shared" si="6"/>
        <v>Se7</v>
      </c>
      <c r="F52" s="46">
        <f t="shared" si="8"/>
        <v>-33.768000000000001</v>
      </c>
      <c r="G52" s="46">
        <f t="shared" si="7"/>
        <v>-39.164999999999999</v>
      </c>
      <c r="H52" s="46">
        <f t="shared" si="7"/>
        <v>-40.516000000000005</v>
      </c>
      <c r="I52" s="46">
        <f t="shared" si="7"/>
        <v>-41.824999999999996</v>
      </c>
      <c r="J52" s="46">
        <f t="shared" si="7"/>
        <v>-43.085000000000001</v>
      </c>
      <c r="K52" s="46">
        <f t="shared" si="7"/>
        <v>-44.281999999999996</v>
      </c>
      <c r="L52" s="46">
        <f t="shared" si="7"/>
        <v>-48.173999999999999</v>
      </c>
      <c r="M52" s="46">
        <f t="shared" si="7"/>
        <v>-49.042000000000002</v>
      </c>
      <c r="N52" s="46">
        <f t="shared" si="7"/>
        <v>-49.923999999999999</v>
      </c>
      <c r="O52" s="46">
        <f t="shared" si="7"/>
        <v>-50.826999999999998</v>
      </c>
      <c r="P52" s="46">
        <f t="shared" si="7"/>
        <v>-51.758000000000003</v>
      </c>
      <c r="Q52" s="46">
        <f t="shared" si="7"/>
        <v>-56.287000000000006</v>
      </c>
      <c r="R52" s="46">
        <f t="shared" si="7"/>
        <v>-57.764000000000003</v>
      </c>
      <c r="S52" s="46">
        <f t="shared" si="7"/>
        <v>-59.373999999999995</v>
      </c>
      <c r="T52" s="46">
        <f t="shared" si="7"/>
        <v>-61.095999999999997</v>
      </c>
      <c r="U52" s="46">
        <f t="shared" si="7"/>
        <v>-62.873999999999995</v>
      </c>
      <c r="V52" s="46">
        <f t="shared" si="7"/>
        <v>-69.775999999999996</v>
      </c>
      <c r="W52" s="46">
        <f t="shared" si="7"/>
        <v>-75.81</v>
      </c>
      <c r="X52" s="46">
        <f t="shared" si="7"/>
        <v>-80.92</v>
      </c>
    </row>
    <row r="53" spans="1:24" ht="21" hidden="1" customHeight="1" outlineLevel="1" thickBot="1" x14ac:dyDescent="0.4">
      <c r="A53" s="5">
        <f t="shared" si="6"/>
        <v>0</v>
      </c>
      <c r="B53" s="5">
        <f t="shared" si="6"/>
        <v>8</v>
      </c>
      <c r="C53" s="5">
        <f t="shared" si="6"/>
        <v>0</v>
      </c>
      <c r="D53" s="5">
        <f t="shared" si="6"/>
        <v>0</v>
      </c>
      <c r="E53" s="41" t="str">
        <f t="shared" si="6"/>
        <v>Se8</v>
      </c>
      <c r="F53" s="46">
        <f t="shared" si="8"/>
        <v>-38.591999999999999</v>
      </c>
      <c r="G53" s="46">
        <f t="shared" si="7"/>
        <v>-44.76</v>
      </c>
      <c r="H53" s="46">
        <f t="shared" si="7"/>
        <v>-46.304000000000002</v>
      </c>
      <c r="I53" s="46">
        <f t="shared" si="7"/>
        <v>-47.8</v>
      </c>
      <c r="J53" s="46">
        <f t="shared" si="7"/>
        <v>-49.24</v>
      </c>
      <c r="K53" s="46">
        <f t="shared" si="7"/>
        <v>-50.607999999999997</v>
      </c>
      <c r="L53" s="46">
        <f t="shared" si="7"/>
        <v>-55.055999999999997</v>
      </c>
      <c r="M53" s="46">
        <f t="shared" si="7"/>
        <v>-56.048000000000002</v>
      </c>
      <c r="N53" s="46">
        <f t="shared" si="7"/>
        <v>-57.055999999999997</v>
      </c>
      <c r="O53" s="46">
        <f t="shared" si="7"/>
        <v>-58.088000000000001</v>
      </c>
      <c r="P53" s="46">
        <f t="shared" si="7"/>
        <v>-59.152000000000001</v>
      </c>
      <c r="Q53" s="46">
        <f t="shared" si="7"/>
        <v>-64.328000000000003</v>
      </c>
      <c r="R53" s="46">
        <f t="shared" si="7"/>
        <v>-66.016000000000005</v>
      </c>
      <c r="S53" s="46">
        <f t="shared" si="7"/>
        <v>-67.855999999999995</v>
      </c>
      <c r="T53" s="46">
        <f t="shared" si="7"/>
        <v>-69.823999999999998</v>
      </c>
      <c r="U53" s="46">
        <f t="shared" si="7"/>
        <v>-71.855999999999995</v>
      </c>
      <c r="V53" s="46">
        <f t="shared" si="7"/>
        <v>-79.744</v>
      </c>
      <c r="W53" s="46">
        <f t="shared" si="7"/>
        <v>-86.64</v>
      </c>
      <c r="X53" s="46">
        <f t="shared" si="7"/>
        <v>-92.48</v>
      </c>
    </row>
    <row r="54" spans="1:24" ht="21" hidden="1" customHeight="1" outlineLevel="1" thickBot="1" x14ac:dyDescent="0.4">
      <c r="A54" s="5">
        <f t="shared" si="6"/>
        <v>0</v>
      </c>
      <c r="B54" s="5">
        <f t="shared" si="6"/>
        <v>2</v>
      </c>
      <c r="C54" s="5">
        <f t="shared" si="6"/>
        <v>0</v>
      </c>
      <c r="D54" s="5">
        <f t="shared" si="6"/>
        <v>0</v>
      </c>
      <c r="E54" s="41" t="str">
        <f t="shared" si="6"/>
        <v>Se2</v>
      </c>
      <c r="F54" s="46">
        <f t="shared" si="8"/>
        <v>-9.6479999999999997</v>
      </c>
      <c r="G54" s="46">
        <f t="shared" si="7"/>
        <v>-11.19</v>
      </c>
      <c r="H54" s="46">
        <f t="shared" si="7"/>
        <v>-11.576000000000001</v>
      </c>
      <c r="I54" s="46">
        <f t="shared" si="7"/>
        <v>-11.95</v>
      </c>
      <c r="J54" s="46">
        <f t="shared" si="7"/>
        <v>-12.31</v>
      </c>
      <c r="K54" s="46">
        <f t="shared" si="7"/>
        <v>-12.651999999999999</v>
      </c>
      <c r="L54" s="46">
        <f t="shared" si="7"/>
        <v>-13.763999999999999</v>
      </c>
      <c r="M54" s="46">
        <f t="shared" si="7"/>
        <v>-14.012</v>
      </c>
      <c r="N54" s="46">
        <f t="shared" si="7"/>
        <v>-14.263999999999999</v>
      </c>
      <c r="O54" s="46">
        <f t="shared" si="7"/>
        <v>-14.522</v>
      </c>
      <c r="P54" s="46">
        <f t="shared" si="7"/>
        <v>-14.788</v>
      </c>
      <c r="Q54" s="46">
        <f t="shared" si="7"/>
        <v>-16.082000000000001</v>
      </c>
      <c r="R54" s="46">
        <f t="shared" si="7"/>
        <v>-16.504000000000001</v>
      </c>
      <c r="S54" s="46">
        <f t="shared" si="7"/>
        <v>-16.963999999999999</v>
      </c>
      <c r="T54" s="46">
        <f t="shared" si="7"/>
        <v>-17.456</v>
      </c>
      <c r="U54" s="46">
        <f t="shared" si="7"/>
        <v>-17.963999999999999</v>
      </c>
      <c r="V54" s="46">
        <f t="shared" si="7"/>
        <v>-19.936</v>
      </c>
      <c r="W54" s="46">
        <f t="shared" si="7"/>
        <v>-21.66</v>
      </c>
      <c r="X54" s="46">
        <f t="shared" si="7"/>
        <v>-23.12</v>
      </c>
    </row>
    <row r="55" spans="1:24" ht="21" hidden="1" customHeight="1" outlineLevel="1" thickBot="1" x14ac:dyDescent="0.4">
      <c r="A55" s="5">
        <f t="shared" si="6"/>
        <v>0</v>
      </c>
      <c r="B55" s="5">
        <f t="shared" si="6"/>
        <v>1</v>
      </c>
      <c r="C55" s="5">
        <f t="shared" si="6"/>
        <v>0</v>
      </c>
      <c r="D55" s="5">
        <f t="shared" si="6"/>
        <v>0</v>
      </c>
      <c r="E55" s="41" t="str">
        <f t="shared" si="6"/>
        <v>Se</v>
      </c>
      <c r="F55" s="46">
        <f t="shared" si="8"/>
        <v>-4.8239999999999998</v>
      </c>
      <c r="G55" s="46">
        <f t="shared" si="7"/>
        <v>-5.5949999999999998</v>
      </c>
      <c r="H55" s="46">
        <f t="shared" si="7"/>
        <v>-5.7880000000000003</v>
      </c>
      <c r="I55" s="46">
        <f t="shared" si="7"/>
        <v>-5.9749999999999996</v>
      </c>
      <c r="J55" s="46">
        <f t="shared" si="7"/>
        <v>-6.1550000000000002</v>
      </c>
      <c r="K55" s="46">
        <f t="shared" si="7"/>
        <v>-6.3259999999999996</v>
      </c>
      <c r="L55" s="46">
        <f t="shared" si="7"/>
        <v>-6.8819999999999997</v>
      </c>
      <c r="M55" s="46">
        <f t="shared" si="7"/>
        <v>-7.0060000000000002</v>
      </c>
      <c r="N55" s="46">
        <f t="shared" si="7"/>
        <v>-7.1319999999999997</v>
      </c>
      <c r="O55" s="46">
        <f t="shared" si="7"/>
        <v>-7.2610000000000001</v>
      </c>
      <c r="P55" s="46">
        <f t="shared" si="7"/>
        <v>-7.3940000000000001</v>
      </c>
      <c r="Q55" s="46">
        <f t="shared" si="7"/>
        <v>-8.0410000000000004</v>
      </c>
      <c r="R55" s="46">
        <f t="shared" si="7"/>
        <v>-8.2520000000000007</v>
      </c>
      <c r="S55" s="46">
        <f t="shared" si="7"/>
        <v>-8.4819999999999993</v>
      </c>
      <c r="T55" s="46">
        <f t="shared" si="7"/>
        <v>-8.7279999999999998</v>
      </c>
      <c r="U55" s="46">
        <f t="shared" si="7"/>
        <v>-8.9819999999999993</v>
      </c>
      <c r="V55" s="46">
        <f t="shared" si="7"/>
        <v>-9.968</v>
      </c>
      <c r="W55" s="46">
        <f t="shared" si="7"/>
        <v>-10.83</v>
      </c>
      <c r="X55" s="46">
        <f t="shared" si="7"/>
        <v>-11.56</v>
      </c>
    </row>
    <row r="56" spans="1:24" ht="21" hidden="1" customHeight="1" outlineLevel="1" thickBot="1" x14ac:dyDescent="0.4">
      <c r="A56" s="5">
        <f t="shared" si="6"/>
        <v>0</v>
      </c>
      <c r="B56" s="5">
        <f t="shared" si="6"/>
        <v>1</v>
      </c>
      <c r="C56" s="5">
        <f t="shared" si="6"/>
        <v>0</v>
      </c>
      <c r="D56" s="5">
        <f t="shared" si="6"/>
        <v>2</v>
      </c>
      <c r="E56" s="41" t="str">
        <f t="shared" si="6"/>
        <v>Ga2Se</v>
      </c>
      <c r="F56" s="46">
        <f t="shared" si="8"/>
        <v>-17.316000000000003</v>
      </c>
      <c r="G56" s="46">
        <f t="shared" si="7"/>
        <v>-19.890999999999998</v>
      </c>
      <c r="H56" s="46">
        <f t="shared" si="7"/>
        <v>-20.475999999999999</v>
      </c>
      <c r="I56" s="46">
        <f t="shared" si="7"/>
        <v>-21.036999999999999</v>
      </c>
      <c r="J56" s="46">
        <f t="shared" si="7"/>
        <v>-21.587</v>
      </c>
      <c r="K56" s="46">
        <f t="shared" si="7"/>
        <v>-22.14</v>
      </c>
      <c r="L56" s="46">
        <f t="shared" si="7"/>
        <v>-24.841999999999999</v>
      </c>
      <c r="M56" s="46">
        <f t="shared" si="7"/>
        <v>-25.64</v>
      </c>
      <c r="N56" s="46">
        <f t="shared" si="7"/>
        <v>-26.426000000000002</v>
      </c>
      <c r="O56" s="46">
        <f t="shared" si="7"/>
        <v>-27.186999999999998</v>
      </c>
      <c r="P56" s="46">
        <f t="shared" si="7"/>
        <v>-27.914000000000001</v>
      </c>
      <c r="Q56" s="46">
        <f t="shared" si="7"/>
        <v>-30.600999999999999</v>
      </c>
      <c r="R56" s="46">
        <f t="shared" si="7"/>
        <v>-31.231999999999999</v>
      </c>
      <c r="S56" s="46">
        <f t="shared" si="7"/>
        <v>-31.802</v>
      </c>
      <c r="T56" s="46">
        <f t="shared" si="7"/>
        <v>-32.347999999999999</v>
      </c>
      <c r="U56" s="46">
        <f t="shared" si="7"/>
        <v>-32.861999999999995</v>
      </c>
      <c r="V56" s="46">
        <f t="shared" si="7"/>
        <v>-34.647999999999996</v>
      </c>
      <c r="W56" s="46">
        <f t="shared" si="7"/>
        <v>-36.130000000000003</v>
      </c>
      <c r="X56" s="46">
        <f t="shared" si="7"/>
        <v>-37.4</v>
      </c>
    </row>
    <row r="57" spans="1:24" ht="21" hidden="1" customHeight="1" outlineLevel="1" thickBot="1" x14ac:dyDescent="0.4">
      <c r="A57" s="5">
        <f t="shared" si="6"/>
        <v>1</v>
      </c>
      <c r="B57" s="5">
        <f t="shared" si="6"/>
        <v>0</v>
      </c>
      <c r="C57" s="5">
        <f t="shared" si="6"/>
        <v>0</v>
      </c>
      <c r="D57" s="5">
        <f t="shared" si="6"/>
        <v>0</v>
      </c>
      <c r="E57" s="41" t="str">
        <f t="shared" si="6"/>
        <v>Ar</v>
      </c>
      <c r="F57" s="46">
        <f t="shared" si="8"/>
        <v>-18.61</v>
      </c>
      <c r="G57" s="46">
        <f t="shared" si="7"/>
        <v>-18.760000000000002</v>
      </c>
      <c r="H57" s="46">
        <f t="shared" si="7"/>
        <v>-18.829999999999998</v>
      </c>
      <c r="I57" s="46">
        <f t="shared" si="7"/>
        <v>-18.899999999999999</v>
      </c>
      <c r="J57" s="46">
        <f t="shared" si="7"/>
        <v>-18.97</v>
      </c>
      <c r="K57" s="46">
        <f t="shared" si="7"/>
        <v>-19.059999999999999</v>
      </c>
      <c r="L57" s="46">
        <f t="shared" si="7"/>
        <v>-19.54</v>
      </c>
      <c r="M57" s="46">
        <f t="shared" si="7"/>
        <v>-19.649999999999999</v>
      </c>
      <c r="N57" s="46">
        <f t="shared" si="7"/>
        <v>-19.760000000000002</v>
      </c>
      <c r="O57" s="46">
        <f t="shared" si="7"/>
        <v>-19.850000000000001</v>
      </c>
      <c r="P57" s="46">
        <f t="shared" si="7"/>
        <v>-19.95</v>
      </c>
      <c r="Q57" s="46">
        <f t="shared" si="7"/>
        <v>-20.420000000000002</v>
      </c>
      <c r="R57" s="46">
        <f t="shared" si="7"/>
        <v>-20.54</v>
      </c>
      <c r="S57" s="46">
        <f t="shared" si="7"/>
        <v>-20.66</v>
      </c>
      <c r="T57" s="46">
        <f t="shared" si="7"/>
        <v>-20.76</v>
      </c>
      <c r="U57" s="46">
        <f t="shared" si="7"/>
        <v>-20.85</v>
      </c>
      <c r="V57" s="46">
        <f t="shared" si="7"/>
        <v>-21.12</v>
      </c>
      <c r="W57" s="46">
        <f t="shared" si="7"/>
        <v>-21.34</v>
      </c>
      <c r="X57" s="46">
        <f t="shared" si="7"/>
        <v>-21.53</v>
      </c>
    </row>
    <row r="58" spans="1:24" ht="21" hidden="1" customHeight="1" outlineLevel="1" thickBot="1" x14ac:dyDescent="0.4">
      <c r="A58" s="5">
        <f t="shared" ref="A58:E67" si="9">A14</f>
        <v>0</v>
      </c>
      <c r="B58" s="5">
        <f t="shared" si="9"/>
        <v>0</v>
      </c>
      <c r="C58" s="5">
        <f t="shared" si="9"/>
        <v>0</v>
      </c>
      <c r="D58" s="5">
        <f t="shared" si="9"/>
        <v>1</v>
      </c>
      <c r="E58" s="41" t="str">
        <f t="shared" si="9"/>
        <v>(l)Ga[l]</v>
      </c>
      <c r="F58" s="46">
        <f t="shared" si="8"/>
        <v>-6.2460000000000004</v>
      </c>
      <c r="G58" s="46">
        <f t="shared" si="7"/>
        <v>-7.1479999999999997</v>
      </c>
      <c r="H58" s="46">
        <f t="shared" si="7"/>
        <v>-7.3440000000000003</v>
      </c>
      <c r="I58" s="46">
        <f t="shared" si="7"/>
        <v>-7.5309999999999997</v>
      </c>
      <c r="J58" s="46">
        <f t="shared" si="7"/>
        <v>-7.7160000000000002</v>
      </c>
      <c r="K58" s="46">
        <f t="shared" si="7"/>
        <v>-7.907</v>
      </c>
      <c r="L58" s="46">
        <f t="shared" si="7"/>
        <v>-8.98</v>
      </c>
      <c r="M58" s="46">
        <f t="shared" si="7"/>
        <v>-9.3170000000000002</v>
      </c>
      <c r="N58" s="46">
        <f t="shared" si="7"/>
        <v>-9.6470000000000002</v>
      </c>
      <c r="O58" s="46">
        <f t="shared" si="7"/>
        <v>-9.9629999999999992</v>
      </c>
      <c r="P58" s="46">
        <f t="shared" si="7"/>
        <v>-10.26</v>
      </c>
      <c r="Q58" s="46">
        <f t="shared" si="7"/>
        <v>-11.28</v>
      </c>
      <c r="R58" s="46">
        <f t="shared" si="7"/>
        <v>-11.49</v>
      </c>
      <c r="S58" s="46">
        <f t="shared" si="7"/>
        <v>-11.66</v>
      </c>
      <c r="T58" s="46">
        <f t="shared" si="7"/>
        <v>-11.81</v>
      </c>
      <c r="U58" s="46">
        <f t="shared" si="7"/>
        <v>-11.94</v>
      </c>
      <c r="V58" s="46">
        <f t="shared" si="7"/>
        <v>-12.34</v>
      </c>
      <c r="W58" s="46">
        <f t="shared" si="7"/>
        <v>-12.65</v>
      </c>
      <c r="X58" s="46">
        <f t="shared" si="7"/>
        <v>-12.92</v>
      </c>
    </row>
    <row r="59" spans="1:24" ht="21" hidden="1" customHeight="1" outlineLevel="1" thickBot="1" x14ac:dyDescent="0.4">
      <c r="A59" s="5">
        <f t="shared" si="9"/>
        <v>0</v>
      </c>
      <c r="B59" s="5">
        <f t="shared" si="9"/>
        <v>0</v>
      </c>
      <c r="C59" s="5">
        <f t="shared" si="9"/>
        <v>1</v>
      </c>
      <c r="D59" s="5">
        <f t="shared" si="9"/>
        <v>0</v>
      </c>
      <c r="E59" s="41" t="str">
        <f t="shared" si="9"/>
        <v>(l)Ge[l]</v>
      </c>
      <c r="F59" s="46">
        <f t="shared" si="8"/>
        <v>5.367</v>
      </c>
      <c r="G59" s="46">
        <f t="shared" si="7"/>
        <v>0.73660000000000003</v>
      </c>
      <c r="H59" s="46">
        <f t="shared" si="7"/>
        <v>-5.534E-2</v>
      </c>
      <c r="I59" s="46">
        <f t="shared" si="7"/>
        <v>-0.75560000000000005</v>
      </c>
      <c r="J59" s="46">
        <f t="shared" si="7"/>
        <v>-1.3779999999999999</v>
      </c>
      <c r="K59" s="46">
        <f t="shared" si="7"/>
        <v>-1.93</v>
      </c>
      <c r="L59" s="46">
        <f t="shared" si="7"/>
        <v>-3.5449999999999999</v>
      </c>
      <c r="M59" s="46">
        <f t="shared" si="7"/>
        <v>-3.8580000000000001</v>
      </c>
      <c r="N59" s="46">
        <f t="shared" si="7"/>
        <v>-4.1520000000000001</v>
      </c>
      <c r="O59" s="46">
        <f t="shared" si="7"/>
        <v>-4.423</v>
      </c>
      <c r="P59" s="46">
        <f t="shared" si="7"/>
        <v>-4.6680000000000001</v>
      </c>
      <c r="Q59" s="46">
        <f t="shared" si="7"/>
        <v>-5.2690000000000001</v>
      </c>
      <c r="R59" s="46">
        <f t="shared" si="7"/>
        <v>-5.3449999999999998</v>
      </c>
      <c r="S59" s="46">
        <f t="shared" si="7"/>
        <v>-5.4130000000000003</v>
      </c>
      <c r="T59" s="46">
        <f t="shared" si="7"/>
        <v>-5.4939999999999998</v>
      </c>
      <c r="U59" s="46">
        <f t="shared" si="7"/>
        <v>-5.5880000000000001</v>
      </c>
      <c r="V59" s="46">
        <f t="shared" si="7"/>
        <v>-6.0519999999999996</v>
      </c>
      <c r="W59" s="46">
        <f t="shared" si="7"/>
        <v>-6.5549999999999997</v>
      </c>
      <c r="X59" s="46">
        <f t="shared" si="7"/>
        <v>-7.0309999999999997</v>
      </c>
    </row>
    <row r="60" spans="1:24" ht="21" hidden="1" customHeight="1" outlineLevel="1" thickBot="1" x14ac:dyDescent="0.4">
      <c r="A60" s="5">
        <f t="shared" si="9"/>
        <v>0</v>
      </c>
      <c r="B60" s="5">
        <f t="shared" si="9"/>
        <v>1</v>
      </c>
      <c r="C60" s="5">
        <f t="shared" si="9"/>
        <v>0</v>
      </c>
      <c r="D60" s="5">
        <f t="shared" si="9"/>
        <v>0</v>
      </c>
      <c r="E60" s="41" t="str">
        <f t="shared" si="9"/>
        <v>(l)Se[l]</v>
      </c>
      <c r="F60" s="46">
        <f t="shared" si="8"/>
        <v>-4.8239999999999998</v>
      </c>
      <c r="G60" s="46">
        <f t="shared" si="7"/>
        <v>-5.5949999999999998</v>
      </c>
      <c r="H60" s="46">
        <f t="shared" si="7"/>
        <v>-5.7880000000000003</v>
      </c>
      <c r="I60" s="46">
        <f t="shared" si="7"/>
        <v>-5.9749999999999996</v>
      </c>
      <c r="J60" s="46">
        <f t="shared" si="7"/>
        <v>-6.1550000000000002</v>
      </c>
      <c r="K60" s="46">
        <f t="shared" si="7"/>
        <v>-6.3259999999999996</v>
      </c>
      <c r="L60" s="46">
        <f t="shared" si="7"/>
        <v>-6.8819999999999997</v>
      </c>
      <c r="M60" s="46">
        <f t="shared" si="7"/>
        <v>-7.0060000000000002</v>
      </c>
      <c r="N60" s="46">
        <f t="shared" si="7"/>
        <v>-7.1319999999999997</v>
      </c>
      <c r="O60" s="46">
        <f t="shared" si="7"/>
        <v>-7.2610000000000001</v>
      </c>
      <c r="P60" s="46">
        <f t="shared" si="7"/>
        <v>-7.3940000000000001</v>
      </c>
      <c r="Q60" s="46">
        <f t="shared" si="7"/>
        <v>-8.0410000000000004</v>
      </c>
      <c r="R60" s="46">
        <f t="shared" si="7"/>
        <v>-8.2520000000000007</v>
      </c>
      <c r="S60" s="46">
        <f t="shared" si="7"/>
        <v>-8.4819999999999993</v>
      </c>
      <c r="T60" s="46">
        <f t="shared" si="7"/>
        <v>-8.7279999999999998</v>
      </c>
      <c r="U60" s="46">
        <f t="shared" si="7"/>
        <v>-8.9819999999999993</v>
      </c>
      <c r="V60" s="46">
        <f t="shared" si="7"/>
        <v>-9.968</v>
      </c>
      <c r="W60" s="46">
        <f t="shared" si="7"/>
        <v>-10.83</v>
      </c>
      <c r="X60" s="46">
        <f t="shared" si="7"/>
        <v>-11.56</v>
      </c>
    </row>
    <row r="61" spans="1:24" ht="21" hidden="1" customHeight="1" outlineLevel="1" thickBot="1" x14ac:dyDescent="0.4">
      <c r="A61" s="5">
        <f t="shared" si="9"/>
        <v>0</v>
      </c>
      <c r="B61" s="5">
        <f t="shared" si="9"/>
        <v>0</v>
      </c>
      <c r="C61" s="5">
        <f t="shared" si="9"/>
        <v>0</v>
      </c>
      <c r="D61" s="5">
        <f t="shared" si="9"/>
        <v>0</v>
      </c>
      <c r="E61" s="41" t="str">
        <f t="shared" si="9"/>
        <v>H(Аг)</v>
      </c>
      <c r="F61" s="46">
        <f t="shared" si="8"/>
        <v>0</v>
      </c>
      <c r="G61" s="46">
        <f t="shared" si="7"/>
        <v>0</v>
      </c>
      <c r="H61" s="46">
        <f t="shared" si="7"/>
        <v>0</v>
      </c>
      <c r="I61" s="46">
        <f t="shared" si="7"/>
        <v>0</v>
      </c>
      <c r="J61" s="46">
        <f t="shared" si="7"/>
        <v>0</v>
      </c>
      <c r="K61" s="46">
        <f t="shared" si="7"/>
        <v>0</v>
      </c>
      <c r="L61" s="46">
        <f t="shared" si="7"/>
        <v>0</v>
      </c>
      <c r="M61" s="46">
        <f t="shared" si="7"/>
        <v>0</v>
      </c>
      <c r="N61" s="46">
        <f t="shared" si="7"/>
        <v>0</v>
      </c>
      <c r="O61" s="46">
        <f t="shared" si="7"/>
        <v>0</v>
      </c>
      <c r="P61" s="46">
        <f t="shared" si="7"/>
        <v>0</v>
      </c>
      <c r="Q61" s="46">
        <f t="shared" si="7"/>
        <v>0</v>
      </c>
      <c r="R61" s="46">
        <f t="shared" si="7"/>
        <v>0</v>
      </c>
      <c r="S61" s="46">
        <f t="shared" si="7"/>
        <v>0</v>
      </c>
      <c r="T61" s="46">
        <f t="shared" si="7"/>
        <v>0</v>
      </c>
      <c r="U61" s="46">
        <f t="shared" si="7"/>
        <v>0</v>
      </c>
      <c r="V61" s="46">
        <f t="shared" si="7"/>
        <v>0</v>
      </c>
      <c r="W61" s="46">
        <f t="shared" si="7"/>
        <v>0</v>
      </c>
      <c r="X61" s="46">
        <f t="shared" si="7"/>
        <v>0</v>
      </c>
    </row>
    <row r="62" spans="1:24" ht="21" hidden="1" customHeight="1" outlineLevel="1" thickBot="1" x14ac:dyDescent="0.4">
      <c r="A62" s="5">
        <f t="shared" si="9"/>
        <v>0</v>
      </c>
      <c r="B62" s="5">
        <f t="shared" si="9"/>
        <v>0</v>
      </c>
      <c r="C62" s="5">
        <f t="shared" si="9"/>
        <v>0</v>
      </c>
      <c r="D62" s="5">
        <f t="shared" si="9"/>
        <v>1</v>
      </c>
      <c r="E62" s="41" t="str">
        <f t="shared" si="9"/>
        <v>H(Ga)</v>
      </c>
      <c r="F62" s="46">
        <f t="shared" si="8"/>
        <v>-6.2460000000000004</v>
      </c>
      <c r="G62" s="46">
        <f t="shared" si="7"/>
        <v>-7.1479999999999997</v>
      </c>
      <c r="H62" s="46">
        <f t="shared" si="7"/>
        <v>-7.3440000000000003</v>
      </c>
      <c r="I62" s="46">
        <f t="shared" si="7"/>
        <v>-7.5309999999999997</v>
      </c>
      <c r="J62" s="46">
        <f t="shared" ref="J62:X64" si="10">$A62*J$17 + $B62*J$20 + $C62*J$19 + $D62*J$18</f>
        <v>-7.7160000000000002</v>
      </c>
      <c r="K62" s="46">
        <f t="shared" si="10"/>
        <v>-7.907</v>
      </c>
      <c r="L62" s="46">
        <f t="shared" si="10"/>
        <v>-8.98</v>
      </c>
      <c r="M62" s="46">
        <f t="shared" si="10"/>
        <v>-9.3170000000000002</v>
      </c>
      <c r="N62" s="46">
        <f t="shared" si="10"/>
        <v>-9.6470000000000002</v>
      </c>
      <c r="O62" s="46">
        <f t="shared" si="10"/>
        <v>-9.9629999999999992</v>
      </c>
      <c r="P62" s="46">
        <f t="shared" si="10"/>
        <v>-10.26</v>
      </c>
      <c r="Q62" s="46">
        <f t="shared" si="10"/>
        <v>-11.28</v>
      </c>
      <c r="R62" s="46">
        <f t="shared" si="10"/>
        <v>-11.49</v>
      </c>
      <c r="S62" s="46">
        <f t="shared" si="10"/>
        <v>-11.66</v>
      </c>
      <c r="T62" s="46">
        <f t="shared" si="10"/>
        <v>-11.81</v>
      </c>
      <c r="U62" s="46">
        <f t="shared" si="10"/>
        <v>-11.94</v>
      </c>
      <c r="V62" s="46">
        <f t="shared" si="10"/>
        <v>-12.34</v>
      </c>
      <c r="W62" s="46">
        <f t="shared" si="10"/>
        <v>-12.65</v>
      </c>
      <c r="X62" s="46">
        <f t="shared" si="10"/>
        <v>-12.92</v>
      </c>
    </row>
    <row r="63" spans="1:24" ht="21" hidden="1" customHeight="1" outlineLevel="1" thickBot="1" x14ac:dyDescent="0.4">
      <c r="A63" s="5">
        <f t="shared" si="9"/>
        <v>0</v>
      </c>
      <c r="B63" s="5">
        <f t="shared" si="9"/>
        <v>0</v>
      </c>
      <c r="C63" s="5">
        <f t="shared" si="9"/>
        <v>1</v>
      </c>
      <c r="D63" s="5">
        <f t="shared" si="9"/>
        <v>0</v>
      </c>
      <c r="E63" s="41" t="str">
        <f t="shared" si="9"/>
        <v>H(Ge)</v>
      </c>
      <c r="F63" s="46">
        <f t="shared" si="8"/>
        <v>5.367</v>
      </c>
      <c r="G63" s="46">
        <f t="shared" si="8"/>
        <v>0.73660000000000003</v>
      </c>
      <c r="H63" s="46">
        <f t="shared" si="8"/>
        <v>-5.534E-2</v>
      </c>
      <c r="I63" s="46">
        <f t="shared" si="8"/>
        <v>-0.75560000000000005</v>
      </c>
      <c r="J63" s="46">
        <f t="shared" si="8"/>
        <v>-1.3779999999999999</v>
      </c>
      <c r="K63" s="46">
        <f t="shared" si="8"/>
        <v>-1.93</v>
      </c>
      <c r="L63" s="46">
        <f t="shared" si="8"/>
        <v>-3.5449999999999999</v>
      </c>
      <c r="M63" s="46">
        <f t="shared" si="8"/>
        <v>-3.8580000000000001</v>
      </c>
      <c r="N63" s="46">
        <f t="shared" si="8"/>
        <v>-4.1520000000000001</v>
      </c>
      <c r="O63" s="46">
        <f t="shared" si="8"/>
        <v>-4.423</v>
      </c>
      <c r="P63" s="46">
        <f t="shared" si="8"/>
        <v>-4.6680000000000001</v>
      </c>
      <c r="Q63" s="46">
        <f t="shared" si="8"/>
        <v>-5.2690000000000001</v>
      </c>
      <c r="R63" s="46">
        <f t="shared" si="8"/>
        <v>-5.3449999999999998</v>
      </c>
      <c r="S63" s="46">
        <f t="shared" si="8"/>
        <v>-5.4130000000000003</v>
      </c>
      <c r="T63" s="46">
        <f t="shared" si="8"/>
        <v>-5.4939999999999998</v>
      </c>
      <c r="U63" s="46">
        <f t="shared" si="8"/>
        <v>-5.5880000000000001</v>
      </c>
      <c r="V63" s="46">
        <f t="shared" si="10"/>
        <v>-6.0519999999999996</v>
      </c>
      <c r="W63" s="46">
        <f t="shared" si="10"/>
        <v>-6.5549999999999997</v>
      </c>
      <c r="X63" s="46">
        <f t="shared" si="10"/>
        <v>-7.0309999999999997</v>
      </c>
    </row>
    <row r="64" spans="1:24" ht="21" hidden="1" customHeight="1" outlineLevel="1" thickBot="1" x14ac:dyDescent="0.4">
      <c r="A64" s="5">
        <f t="shared" si="9"/>
        <v>0</v>
      </c>
      <c r="B64" s="5">
        <f t="shared" si="9"/>
        <v>1</v>
      </c>
      <c r="C64" s="5">
        <f t="shared" si="9"/>
        <v>0</v>
      </c>
      <c r="D64" s="5">
        <f t="shared" si="9"/>
        <v>0</v>
      </c>
      <c r="E64" s="41" t="str">
        <f t="shared" si="9"/>
        <v>H(Se)</v>
      </c>
      <c r="F64" s="46">
        <f t="shared" si="8"/>
        <v>-4.8239999999999998</v>
      </c>
      <c r="G64" s="46">
        <f t="shared" si="8"/>
        <v>-5.5949999999999998</v>
      </c>
      <c r="H64" s="46">
        <f t="shared" si="8"/>
        <v>-5.7880000000000003</v>
      </c>
      <c r="I64" s="46">
        <f t="shared" si="8"/>
        <v>-5.9749999999999996</v>
      </c>
      <c r="J64" s="46">
        <f t="shared" si="8"/>
        <v>-6.1550000000000002</v>
      </c>
      <c r="K64" s="46">
        <f t="shared" si="8"/>
        <v>-6.3259999999999996</v>
      </c>
      <c r="L64" s="46">
        <f t="shared" si="8"/>
        <v>-6.8819999999999997</v>
      </c>
      <c r="M64" s="46">
        <f t="shared" si="8"/>
        <v>-7.0060000000000002</v>
      </c>
      <c r="N64" s="46">
        <f t="shared" si="8"/>
        <v>-7.1319999999999997</v>
      </c>
      <c r="O64" s="46">
        <f t="shared" si="8"/>
        <v>-7.2610000000000001</v>
      </c>
      <c r="P64" s="46">
        <f t="shared" si="8"/>
        <v>-7.3940000000000001</v>
      </c>
      <c r="Q64" s="46">
        <f t="shared" si="8"/>
        <v>-8.0410000000000004</v>
      </c>
      <c r="R64" s="46">
        <f t="shared" si="8"/>
        <v>-8.2520000000000007</v>
      </c>
      <c r="S64" s="46">
        <f t="shared" si="8"/>
        <v>-8.4819999999999993</v>
      </c>
      <c r="T64" s="46">
        <f t="shared" si="8"/>
        <v>-8.7279999999999998</v>
      </c>
      <c r="U64" s="46">
        <f t="shared" si="8"/>
        <v>-8.9819999999999993</v>
      </c>
      <c r="V64" s="46">
        <f t="shared" si="10"/>
        <v>-9.968</v>
      </c>
      <c r="W64" s="46">
        <f t="shared" si="10"/>
        <v>-10.83</v>
      </c>
      <c r="X64" s="46">
        <f t="shared" si="10"/>
        <v>-11.56</v>
      </c>
    </row>
    <row r="65" spans="1:24" ht="21" hidden="1" customHeight="1" outlineLevel="1" thickBot="1" x14ac:dyDescent="0.4">
      <c r="A65" s="5">
        <f t="shared" si="9"/>
        <v>0</v>
      </c>
      <c r="B65" s="5">
        <f t="shared" si="9"/>
        <v>0</v>
      </c>
      <c r="C65" s="5">
        <f t="shared" si="9"/>
        <v>0</v>
      </c>
      <c r="D65" s="5">
        <f t="shared" si="9"/>
        <v>0</v>
      </c>
      <c r="E65" s="41">
        <f t="shared" si="9"/>
        <v>0</v>
      </c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</row>
    <row r="66" spans="1:24" ht="21" hidden="1" customHeight="1" outlineLevel="1" thickBot="1" x14ac:dyDescent="0.4">
      <c r="A66" s="5">
        <f t="shared" si="9"/>
        <v>0</v>
      </c>
      <c r="B66" s="5">
        <f t="shared" si="9"/>
        <v>0</v>
      </c>
      <c r="C66" s="5">
        <f t="shared" si="9"/>
        <v>0</v>
      </c>
      <c r="D66" s="5">
        <f t="shared" si="9"/>
        <v>0</v>
      </c>
      <c r="E66" s="41">
        <f t="shared" si="9"/>
        <v>0</v>
      </c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</row>
    <row r="67" spans="1:24" ht="21" hidden="1" customHeight="1" outlineLevel="1" thickBot="1" x14ac:dyDescent="0.4">
      <c r="A67" s="5">
        <f t="shared" si="9"/>
        <v>0</v>
      </c>
      <c r="B67" s="5">
        <f t="shared" si="9"/>
        <v>0</v>
      </c>
      <c r="C67" s="5">
        <f t="shared" si="9"/>
        <v>0</v>
      </c>
      <c r="D67" s="5">
        <f t="shared" si="9"/>
        <v>0</v>
      </c>
      <c r="E67" s="41">
        <f t="shared" si="9"/>
        <v>0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</row>
    <row r="68" spans="1:24" ht="21" hidden="1" customHeight="1" outlineLevel="1" thickBot="1" x14ac:dyDescent="0.4">
      <c r="A68" s="5">
        <f t="shared" ref="A68:E77" si="11">A24</f>
        <v>0</v>
      </c>
      <c r="B68" s="5">
        <f t="shared" si="11"/>
        <v>0</v>
      </c>
      <c r="C68" s="5">
        <f t="shared" si="11"/>
        <v>0</v>
      </c>
      <c r="D68" s="5">
        <f t="shared" si="11"/>
        <v>0</v>
      </c>
      <c r="E68" s="41">
        <f t="shared" si="11"/>
        <v>0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</row>
    <row r="69" spans="1:24" ht="21" hidden="1" customHeight="1" outlineLevel="1" thickBot="1" x14ac:dyDescent="0.4">
      <c r="A69" s="5">
        <f t="shared" si="11"/>
        <v>0</v>
      </c>
      <c r="B69" s="5">
        <f t="shared" si="11"/>
        <v>0</v>
      </c>
      <c r="C69" s="5">
        <f t="shared" si="11"/>
        <v>0</v>
      </c>
      <c r="D69" s="5">
        <f t="shared" si="11"/>
        <v>0</v>
      </c>
      <c r="E69" s="41">
        <f t="shared" si="11"/>
        <v>0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</row>
    <row r="70" spans="1:24" ht="21" hidden="1" customHeight="1" outlineLevel="1" thickBot="1" x14ac:dyDescent="0.4">
      <c r="A70" s="5">
        <f t="shared" si="11"/>
        <v>0</v>
      </c>
      <c r="B70" s="5">
        <f t="shared" si="11"/>
        <v>0</v>
      </c>
      <c r="C70" s="5">
        <f t="shared" si="11"/>
        <v>0</v>
      </c>
      <c r="D70" s="5">
        <f t="shared" si="11"/>
        <v>0</v>
      </c>
      <c r="E70" s="41">
        <f t="shared" si="11"/>
        <v>0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</row>
    <row r="71" spans="1:24" ht="21" hidden="1" customHeight="1" outlineLevel="1" thickBot="1" x14ac:dyDescent="0.4">
      <c r="A71" s="5">
        <f t="shared" si="11"/>
        <v>0</v>
      </c>
      <c r="B71" s="5">
        <f t="shared" si="11"/>
        <v>0</v>
      </c>
      <c r="C71" s="5">
        <f t="shared" si="11"/>
        <v>0</v>
      </c>
      <c r="D71" s="5">
        <f t="shared" si="11"/>
        <v>0</v>
      </c>
      <c r="E71" s="41">
        <f t="shared" si="11"/>
        <v>0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</row>
    <row r="72" spans="1:24" ht="21" hidden="1" customHeight="1" outlineLevel="1" thickBot="1" x14ac:dyDescent="0.4">
      <c r="A72" s="5">
        <f t="shared" si="11"/>
        <v>0</v>
      </c>
      <c r="B72" s="5">
        <f t="shared" si="11"/>
        <v>0</v>
      </c>
      <c r="C72" s="5">
        <f t="shared" si="11"/>
        <v>0</v>
      </c>
      <c r="D72" s="5">
        <f t="shared" si="11"/>
        <v>0</v>
      </c>
      <c r="E72" s="41">
        <f t="shared" si="11"/>
        <v>0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</row>
    <row r="73" spans="1:24" ht="21" hidden="1" customHeight="1" outlineLevel="1" thickBot="1" x14ac:dyDescent="0.4">
      <c r="A73" s="5">
        <f t="shared" si="11"/>
        <v>0</v>
      </c>
      <c r="B73" s="5">
        <f t="shared" si="11"/>
        <v>0</v>
      </c>
      <c r="C73" s="5">
        <f t="shared" si="11"/>
        <v>0</v>
      </c>
      <c r="D73" s="5">
        <f t="shared" si="11"/>
        <v>0</v>
      </c>
      <c r="E73" s="41">
        <f t="shared" si="11"/>
        <v>0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</row>
    <row r="74" spans="1:24" ht="21" hidden="1" customHeight="1" outlineLevel="1" thickBot="1" x14ac:dyDescent="0.4">
      <c r="A74" s="5">
        <f t="shared" si="11"/>
        <v>0</v>
      </c>
      <c r="B74" s="5">
        <f t="shared" si="11"/>
        <v>0</v>
      </c>
      <c r="C74" s="5">
        <f t="shared" si="11"/>
        <v>0</v>
      </c>
      <c r="D74" s="5">
        <f t="shared" si="11"/>
        <v>0</v>
      </c>
      <c r="E74" s="41">
        <f t="shared" si="11"/>
        <v>0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</row>
    <row r="75" spans="1:24" ht="21" hidden="1" customHeight="1" outlineLevel="1" thickBot="1" x14ac:dyDescent="0.4">
      <c r="A75" s="5">
        <f t="shared" si="11"/>
        <v>0</v>
      </c>
      <c r="B75" s="5">
        <f t="shared" si="11"/>
        <v>0</v>
      </c>
      <c r="C75" s="5">
        <f t="shared" si="11"/>
        <v>0</v>
      </c>
      <c r="D75" s="5">
        <f t="shared" si="11"/>
        <v>0</v>
      </c>
      <c r="E75" s="41">
        <f t="shared" si="11"/>
        <v>0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</row>
    <row r="76" spans="1:24" ht="21" hidden="1" customHeight="1" outlineLevel="1" thickBot="1" x14ac:dyDescent="0.4">
      <c r="A76" s="5">
        <f t="shared" si="11"/>
        <v>0</v>
      </c>
      <c r="B76" s="5">
        <f t="shared" si="11"/>
        <v>0</v>
      </c>
      <c r="C76" s="5">
        <f t="shared" si="11"/>
        <v>0</v>
      </c>
      <c r="D76" s="5">
        <f t="shared" si="11"/>
        <v>0</v>
      </c>
      <c r="E76" s="41">
        <f t="shared" si="11"/>
        <v>0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</row>
    <row r="77" spans="1:24" ht="21" hidden="1" customHeight="1" outlineLevel="1" thickBot="1" x14ac:dyDescent="0.4">
      <c r="A77" s="5">
        <f t="shared" si="11"/>
        <v>0</v>
      </c>
      <c r="B77" s="5">
        <f t="shared" si="11"/>
        <v>0</v>
      </c>
      <c r="C77" s="5">
        <f t="shared" si="11"/>
        <v>0</v>
      </c>
      <c r="D77" s="5">
        <f t="shared" si="11"/>
        <v>0</v>
      </c>
      <c r="E77" s="41">
        <f t="shared" si="11"/>
        <v>1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</row>
    <row r="78" spans="1:24" ht="21" hidden="1" customHeight="1" outlineLevel="1" x14ac:dyDescent="0.35"/>
    <row r="79" spans="1:24" ht="21" customHeight="1" collapsed="1" thickBot="1" x14ac:dyDescent="0.4">
      <c r="W79" s="1"/>
    </row>
    <row r="80" spans="1:24" ht="21" customHeight="1" thickBot="1" x14ac:dyDescent="0.45">
      <c r="A80" s="46"/>
      <c r="B80" s="46"/>
      <c r="C80" s="2">
        <f>E38</f>
        <v>8.3333333333333339</v>
      </c>
      <c r="D80" s="59"/>
      <c r="E80" s="61"/>
      <c r="F80" s="58" t="str">
        <f>ALL!F80</f>
        <v>Относительная  концентрация в данной системе</v>
      </c>
      <c r="G80" s="58"/>
      <c r="H80" s="58"/>
      <c r="I80" s="58"/>
      <c r="J80" s="58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</row>
    <row r="81" spans="1:24" ht="21" hidden="1" customHeight="1" outlineLevel="1" thickTop="1" thickBot="1" x14ac:dyDescent="0.4">
      <c r="A81" s="23" t="s">
        <v>2</v>
      </c>
      <c r="B81" s="7" t="s">
        <v>8</v>
      </c>
      <c r="C81" s="7" t="s">
        <v>9</v>
      </c>
      <c r="D81" s="24" t="s">
        <v>10</v>
      </c>
      <c r="E81" s="36">
        <f t="shared" ref="E81:E111" si="12">E47</f>
        <v>0</v>
      </c>
      <c r="F81" s="36">
        <f t="shared" ref="F81:X81" si="13">F3</f>
        <v>298.2</v>
      </c>
      <c r="G81" s="36">
        <f t="shared" si="13"/>
        <v>431.7</v>
      </c>
      <c r="H81" s="36">
        <f t="shared" si="13"/>
        <v>465.1</v>
      </c>
      <c r="I81" s="36">
        <f t="shared" si="13"/>
        <v>498.5</v>
      </c>
      <c r="J81" s="36">
        <f t="shared" si="13"/>
        <v>531.79999999999995</v>
      </c>
      <c r="K81" s="36">
        <f t="shared" si="13"/>
        <v>565.20000000000005</v>
      </c>
      <c r="L81" s="36">
        <f t="shared" si="13"/>
        <v>698.8</v>
      </c>
      <c r="M81" s="36">
        <f t="shared" si="13"/>
        <v>732.2</v>
      </c>
      <c r="N81" s="36">
        <f t="shared" si="13"/>
        <v>765.5</v>
      </c>
      <c r="O81" s="36">
        <f t="shared" si="13"/>
        <v>798.9</v>
      </c>
      <c r="P81" s="36">
        <f t="shared" si="13"/>
        <v>832.3</v>
      </c>
      <c r="Q81" s="36">
        <f t="shared" si="13"/>
        <v>965.8</v>
      </c>
      <c r="R81" s="36">
        <f t="shared" si="13"/>
        <v>999.2</v>
      </c>
      <c r="S81" s="36">
        <f t="shared" si="13"/>
        <v>1033</v>
      </c>
      <c r="T81" s="36">
        <f t="shared" si="13"/>
        <v>1066</v>
      </c>
      <c r="U81" s="36">
        <f t="shared" si="13"/>
        <v>1099</v>
      </c>
      <c r="V81" s="36">
        <f t="shared" si="13"/>
        <v>1233</v>
      </c>
      <c r="W81" s="36">
        <f t="shared" si="13"/>
        <v>1366</v>
      </c>
      <c r="X81" s="36">
        <f t="shared" si="13"/>
        <v>1500</v>
      </c>
    </row>
    <row r="82" spans="1:24" ht="21" hidden="1" customHeight="1" outlineLevel="1" thickTop="1" thickBot="1" x14ac:dyDescent="0.4">
      <c r="A82" s="5">
        <f>A48</f>
        <v>0</v>
      </c>
      <c r="B82" s="5">
        <f t="shared" ref="B82:D82" si="14">B48</f>
        <v>3</v>
      </c>
      <c r="C82" s="5">
        <f t="shared" si="14"/>
        <v>0</v>
      </c>
      <c r="D82" s="5">
        <f t="shared" si="14"/>
        <v>0</v>
      </c>
      <c r="E82" s="41" t="str">
        <f t="shared" si="12"/>
        <v>Se3</v>
      </c>
      <c r="F82" s="46">
        <f t="shared" ref="F82:X82" si="15">F4*$C$80</f>
        <v>1.0880000000000002E-21</v>
      </c>
      <c r="G82" s="46">
        <f t="shared" si="15"/>
        <v>7.0588333333333336E-13</v>
      </c>
      <c r="H82" s="46">
        <f t="shared" si="15"/>
        <v>1.6442500000000002E-11</v>
      </c>
      <c r="I82" s="46">
        <f t="shared" si="15"/>
        <v>2.4471666666666672E-10</v>
      </c>
      <c r="J82" s="46">
        <f t="shared" si="15"/>
        <v>2.5568333333333334E-9</v>
      </c>
      <c r="K82" s="46">
        <f t="shared" si="15"/>
        <v>2.0269166666666669E-8</v>
      </c>
      <c r="L82" s="46">
        <f t="shared" si="15"/>
        <v>1.3811666666666667E-5</v>
      </c>
      <c r="M82" s="46">
        <f t="shared" si="15"/>
        <v>4.837166666666667E-5</v>
      </c>
      <c r="N82" s="46">
        <f t="shared" si="15"/>
        <v>1.47575E-4</v>
      </c>
      <c r="O82" s="46">
        <f t="shared" si="15"/>
        <v>3.9853333333333339E-4</v>
      </c>
      <c r="P82" s="46">
        <f t="shared" si="15"/>
        <v>9.6625000000000009E-4</v>
      </c>
      <c r="Q82" s="46">
        <f t="shared" si="15"/>
        <v>1.1886666666666667E-2</v>
      </c>
      <c r="R82" s="46">
        <f t="shared" si="15"/>
        <v>1.6613333333333334E-2</v>
      </c>
      <c r="S82" s="46">
        <f t="shared" si="15"/>
        <v>2.0700000000000003E-2</v>
      </c>
      <c r="T82" s="46">
        <f t="shared" si="15"/>
        <v>2.315416666666667E-2</v>
      </c>
      <c r="U82" s="46">
        <f t="shared" si="15"/>
        <v>2.3975833333333335E-2</v>
      </c>
      <c r="V82" s="46">
        <f t="shared" si="15"/>
        <v>1.9525833333333333E-2</v>
      </c>
      <c r="W82" s="46">
        <f t="shared" si="15"/>
        <v>1.4225833333333335E-2</v>
      </c>
      <c r="X82" s="46">
        <f t="shared" si="15"/>
        <v>1.0615833333333333E-2</v>
      </c>
    </row>
    <row r="83" spans="1:24" ht="21" hidden="1" customHeight="1" outlineLevel="1" thickBot="1" x14ac:dyDescent="0.4">
      <c r="A83" s="5">
        <f t="shared" ref="A83:D83" si="16">A49</f>
        <v>0</v>
      </c>
      <c r="B83" s="5">
        <f t="shared" si="16"/>
        <v>4</v>
      </c>
      <c r="C83" s="5">
        <f t="shared" si="16"/>
        <v>0</v>
      </c>
      <c r="D83" s="5">
        <f t="shared" si="16"/>
        <v>0</v>
      </c>
      <c r="E83" s="41" t="str">
        <f t="shared" si="12"/>
        <v>Se4</v>
      </c>
      <c r="F83" s="46">
        <f t="shared" ref="F83:X83" si="17">F5*$C$80</f>
        <v>6.3649166666666667E-20</v>
      </c>
      <c r="G83" s="46">
        <f t="shared" si="17"/>
        <v>4.9091666666666669E-12</v>
      </c>
      <c r="H83" s="46">
        <f t="shared" si="17"/>
        <v>7.9174166666666677E-11</v>
      </c>
      <c r="I83" s="46">
        <f t="shared" si="17"/>
        <v>8.5150000000000011E-10</v>
      </c>
      <c r="J83" s="46">
        <f t="shared" si="17"/>
        <v>6.6678333333333334E-9</v>
      </c>
      <c r="K83" s="46">
        <f t="shared" si="17"/>
        <v>4.0946666666666673E-8</v>
      </c>
      <c r="L83" s="46">
        <f t="shared" si="17"/>
        <v>1.3351666666666668E-5</v>
      </c>
      <c r="M83" s="46">
        <f t="shared" si="17"/>
        <v>4.0566666666666666E-5</v>
      </c>
      <c r="N83" s="46">
        <f t="shared" si="17"/>
        <v>1.0798333333333335E-4</v>
      </c>
      <c r="O83" s="46">
        <f t="shared" si="17"/>
        <v>2.5526666666666667E-4</v>
      </c>
      <c r="P83" s="46">
        <f t="shared" si="17"/>
        <v>5.4226666666666676E-4</v>
      </c>
      <c r="Q83" s="46">
        <f t="shared" si="17"/>
        <v>3.6450833333333335E-3</v>
      </c>
      <c r="R83" s="46">
        <f t="shared" si="17"/>
        <v>4.2002500000000009E-3</v>
      </c>
      <c r="S83" s="46">
        <f t="shared" si="17"/>
        <v>4.2420000000000001E-3</v>
      </c>
      <c r="T83" s="46">
        <f t="shared" si="17"/>
        <v>3.7907500000000003E-3</v>
      </c>
      <c r="U83" s="46">
        <f t="shared" si="17"/>
        <v>3.1166666666666669E-3</v>
      </c>
      <c r="V83" s="46">
        <f t="shared" si="17"/>
        <v>1.0497499999999999E-3</v>
      </c>
      <c r="W83" s="46">
        <f t="shared" si="17"/>
        <v>3.635E-4</v>
      </c>
      <c r="X83" s="46">
        <f t="shared" si="17"/>
        <v>1.46775E-4</v>
      </c>
    </row>
    <row r="84" spans="1:24" ht="21" hidden="1" customHeight="1" outlineLevel="1" thickBot="1" x14ac:dyDescent="0.4">
      <c r="A84" s="5">
        <f t="shared" ref="A84:D84" si="18">A50</f>
        <v>0</v>
      </c>
      <c r="B84" s="5">
        <f t="shared" si="18"/>
        <v>5</v>
      </c>
      <c r="C84" s="5">
        <f t="shared" si="18"/>
        <v>0</v>
      </c>
      <c r="D84" s="5">
        <f t="shared" si="18"/>
        <v>0</v>
      </c>
      <c r="E84" s="41" t="str">
        <f t="shared" si="12"/>
        <v>Se5</v>
      </c>
      <c r="F84" s="46">
        <f t="shared" ref="F84:X84" si="19">F6*$C$80</f>
        <v>1.146E-16</v>
      </c>
      <c r="G84" s="46">
        <f t="shared" si="19"/>
        <v>1.5887500000000001E-9</v>
      </c>
      <c r="H84" s="46">
        <f t="shared" si="19"/>
        <v>1.9027500000000003E-8</v>
      </c>
      <c r="I84" s="46">
        <f t="shared" si="19"/>
        <v>1.5724166666666666E-7</v>
      </c>
      <c r="J84" s="46">
        <f t="shared" si="19"/>
        <v>9.7458333333333346E-7</v>
      </c>
      <c r="K84" s="46">
        <f t="shared" si="19"/>
        <v>4.8672499999999999E-6</v>
      </c>
      <c r="L84" s="46">
        <f t="shared" si="19"/>
        <v>8.8325000000000014E-4</v>
      </c>
      <c r="M84" s="46">
        <f t="shared" si="19"/>
        <v>2.3982500000000002E-3</v>
      </c>
      <c r="N84" s="46">
        <f t="shared" si="19"/>
        <v>5.7239999999999999E-3</v>
      </c>
      <c r="O84" s="46">
        <f t="shared" si="19"/>
        <v>1.2145000000000001E-2</v>
      </c>
      <c r="P84" s="46">
        <f t="shared" si="19"/>
        <v>2.3135833333333338E-2</v>
      </c>
      <c r="Q84" s="46">
        <f t="shared" si="19"/>
        <v>9.1825000000000004E-2</v>
      </c>
      <c r="R84" s="46">
        <f t="shared" si="19"/>
        <v>8.8666666666666671E-2</v>
      </c>
      <c r="S84" s="46">
        <f t="shared" si="19"/>
        <v>7.3703333333333343E-2</v>
      </c>
      <c r="T84" s="46">
        <f t="shared" si="19"/>
        <v>5.3380000000000004E-2</v>
      </c>
      <c r="U84" s="46">
        <f t="shared" si="19"/>
        <v>3.5320833333333336E-2</v>
      </c>
      <c r="V84" s="46">
        <f t="shared" si="19"/>
        <v>5.156666666666667E-3</v>
      </c>
      <c r="W84" s="46">
        <f t="shared" si="19"/>
        <v>8.8175000000000016E-4</v>
      </c>
      <c r="X84" s="46">
        <f t="shared" si="19"/>
        <v>1.9881666666666668E-4</v>
      </c>
    </row>
    <row r="85" spans="1:24" ht="21" hidden="1" customHeight="1" outlineLevel="1" thickBot="1" x14ac:dyDescent="0.4">
      <c r="A85" s="5">
        <f t="shared" ref="A85:D85" si="20">A51</f>
        <v>0</v>
      </c>
      <c r="B85" s="5">
        <f t="shared" si="20"/>
        <v>6</v>
      </c>
      <c r="C85" s="5">
        <f t="shared" si="20"/>
        <v>0</v>
      </c>
      <c r="D85" s="5">
        <f t="shared" si="20"/>
        <v>0</v>
      </c>
      <c r="E85" s="41" t="str">
        <f t="shared" si="12"/>
        <v>Se6</v>
      </c>
      <c r="F85" s="46">
        <f t="shared" ref="F85:X85" si="21">F7*$C$80</f>
        <v>1.9293333333333332E-14</v>
      </c>
      <c r="G85" s="46">
        <f t="shared" si="21"/>
        <v>1.4455833333333334E-8</v>
      </c>
      <c r="H85" s="46">
        <f t="shared" si="21"/>
        <v>1.0587500000000001E-7</v>
      </c>
      <c r="I85" s="46">
        <f t="shared" si="21"/>
        <v>5.6799166666666665E-7</v>
      </c>
      <c r="J85" s="46">
        <f t="shared" si="21"/>
        <v>2.4037500000000005E-6</v>
      </c>
      <c r="K85" s="46">
        <f t="shared" si="21"/>
        <v>8.5675000000000006E-6</v>
      </c>
      <c r="L85" s="46">
        <f t="shared" si="21"/>
        <v>5.8075833333333328E-4</v>
      </c>
      <c r="M85" s="46">
        <f t="shared" si="21"/>
        <v>1.3045833333333336E-3</v>
      </c>
      <c r="N85" s="46">
        <f t="shared" si="21"/>
        <v>2.6017500000000003E-3</v>
      </c>
      <c r="O85" s="46">
        <f t="shared" si="21"/>
        <v>4.644583333333333E-3</v>
      </c>
      <c r="P85" s="46">
        <f t="shared" si="21"/>
        <v>7.4755833333333341E-3</v>
      </c>
      <c r="Q85" s="46">
        <f t="shared" si="21"/>
        <v>1.4380833333333334E-2</v>
      </c>
      <c r="R85" s="46">
        <f t="shared" si="21"/>
        <v>1.1168333333333334E-2</v>
      </c>
      <c r="S85" s="46">
        <f t="shared" si="21"/>
        <v>7.3520833333333337E-3</v>
      </c>
      <c r="T85" s="46">
        <f t="shared" si="21"/>
        <v>4.1625000000000004E-3</v>
      </c>
      <c r="U85" s="46">
        <f t="shared" si="21"/>
        <v>2.1426666666666669E-3</v>
      </c>
      <c r="V85" s="46">
        <f t="shared" si="21"/>
        <v>1.2056666666666667E-4</v>
      </c>
      <c r="W85" s="46">
        <f t="shared" si="21"/>
        <v>9.2600000000000011E-6</v>
      </c>
      <c r="X85" s="46">
        <f t="shared" si="21"/>
        <v>1.0786666666666667E-6</v>
      </c>
    </row>
    <row r="86" spans="1:24" ht="21" hidden="1" customHeight="1" outlineLevel="1" thickBot="1" x14ac:dyDescent="0.4">
      <c r="A86" s="5">
        <f t="shared" ref="A86:D86" si="22">A52</f>
        <v>0</v>
      </c>
      <c r="B86" s="5">
        <f t="shared" si="22"/>
        <v>7</v>
      </c>
      <c r="C86" s="5">
        <f t="shared" si="22"/>
        <v>0</v>
      </c>
      <c r="D86" s="5">
        <f t="shared" si="22"/>
        <v>0</v>
      </c>
      <c r="E86" s="41" t="str">
        <f t="shared" si="12"/>
        <v>Se7</v>
      </c>
      <c r="F86" s="46">
        <f t="shared" ref="F86:X86" si="23">F8*$C$80</f>
        <v>2.1278333333333336E-15</v>
      </c>
      <c r="G86" s="46">
        <f t="shared" si="23"/>
        <v>3.2456666666666667E-9</v>
      </c>
      <c r="H86" s="46">
        <f t="shared" si="23"/>
        <v>2.5979166666666669E-8</v>
      </c>
      <c r="I86" s="46">
        <f t="shared" si="23"/>
        <v>1.4958333333333334E-7</v>
      </c>
      <c r="J86" s="46">
        <f t="shared" si="23"/>
        <v>6.7072500000000005E-7</v>
      </c>
      <c r="K86" s="46">
        <f t="shared" si="23"/>
        <v>2.5135000000000006E-6</v>
      </c>
      <c r="L86" s="46">
        <f t="shared" si="23"/>
        <v>2.0681666666666666E-4</v>
      </c>
      <c r="M86" s="46">
        <f t="shared" si="23"/>
        <v>4.82475E-4</v>
      </c>
      <c r="N86" s="46">
        <f t="shared" si="23"/>
        <v>9.8933333333333338E-4</v>
      </c>
      <c r="O86" s="46">
        <f t="shared" si="23"/>
        <v>1.7970833333333335E-3</v>
      </c>
      <c r="P86" s="46">
        <f t="shared" si="23"/>
        <v>2.9107500000000001E-3</v>
      </c>
      <c r="Q86" s="46">
        <f t="shared" si="23"/>
        <v>4.8390000000000004E-3</v>
      </c>
      <c r="R86" s="46">
        <f t="shared" si="23"/>
        <v>3.4088333333333336E-3</v>
      </c>
      <c r="S86" s="46">
        <f t="shared" si="23"/>
        <v>1.9889166666666666E-3</v>
      </c>
      <c r="T86" s="46">
        <f t="shared" si="23"/>
        <v>9.7825000000000017E-4</v>
      </c>
      <c r="U86" s="46">
        <f t="shared" si="23"/>
        <v>4.3255833333333336E-4</v>
      </c>
      <c r="V86" s="46">
        <f t="shared" si="23"/>
        <v>1.3215833333333333E-5</v>
      </c>
      <c r="W86" s="46">
        <f t="shared" si="23"/>
        <v>6.0060000000000002E-7</v>
      </c>
      <c r="X86" s="46">
        <f t="shared" si="23"/>
        <v>4.5330000000000003E-8</v>
      </c>
    </row>
    <row r="87" spans="1:24" ht="21" hidden="1" customHeight="1" outlineLevel="1" thickBot="1" x14ac:dyDescent="0.4">
      <c r="A87" s="5">
        <f t="shared" ref="A87:D87" si="24">A53</f>
        <v>0</v>
      </c>
      <c r="B87" s="5">
        <f t="shared" si="24"/>
        <v>8</v>
      </c>
      <c r="C87" s="5">
        <f t="shared" si="24"/>
        <v>0</v>
      </c>
      <c r="D87" s="5">
        <f t="shared" si="24"/>
        <v>0</v>
      </c>
      <c r="E87" s="41" t="str">
        <f t="shared" si="12"/>
        <v>Se8</v>
      </c>
      <c r="F87" s="46">
        <f t="shared" ref="F87:X87" si="25">F9*$C$80</f>
        <v>4.6839166666666669E-17</v>
      </c>
      <c r="G87" s="46">
        <f t="shared" si="25"/>
        <v>1.2379166666666667E-10</v>
      </c>
      <c r="H87" s="46">
        <f t="shared" si="25"/>
        <v>1.0556666666666666E-9</v>
      </c>
      <c r="I87" s="46">
        <f t="shared" si="25"/>
        <v>6.3810833333333342E-9</v>
      </c>
      <c r="J87" s="46">
        <f t="shared" si="25"/>
        <v>2.974E-8</v>
      </c>
      <c r="K87" s="46">
        <f t="shared" si="25"/>
        <v>1.1521666666666666E-7</v>
      </c>
      <c r="L87" s="46">
        <f t="shared" si="25"/>
        <v>1.0933333333333334E-5</v>
      </c>
      <c r="M87" s="46">
        <f t="shared" si="25"/>
        <v>2.6227500000000003E-5</v>
      </c>
      <c r="N87" s="46">
        <f t="shared" si="25"/>
        <v>5.4802500000000003E-5</v>
      </c>
      <c r="O87" s="46">
        <f t="shared" si="25"/>
        <v>1.0046666666666666E-4</v>
      </c>
      <c r="P87" s="46">
        <f t="shared" si="25"/>
        <v>1.625166666666667E-4</v>
      </c>
      <c r="Q87" s="46">
        <f t="shared" si="25"/>
        <v>2.2775000000000003E-4</v>
      </c>
      <c r="R87" s="46">
        <f t="shared" si="25"/>
        <v>1.4478333333333335E-4</v>
      </c>
      <c r="S87" s="46">
        <f t="shared" si="25"/>
        <v>7.4511666666666674E-5</v>
      </c>
      <c r="T87" s="46">
        <f t="shared" si="25"/>
        <v>3.1693333333333337E-5</v>
      </c>
      <c r="U87" s="46">
        <f t="shared" si="25"/>
        <v>1.1986666666666668E-5</v>
      </c>
      <c r="V87" s="46">
        <f t="shared" si="25"/>
        <v>1.9594166666666668E-7</v>
      </c>
      <c r="W87" s="46">
        <f t="shared" si="25"/>
        <v>5.2075000000000005E-9</v>
      </c>
      <c r="X87" s="46">
        <f t="shared" si="25"/>
        <v>2.5220000000000002E-10</v>
      </c>
    </row>
    <row r="88" spans="1:24" ht="21" hidden="1" customHeight="1" outlineLevel="1" thickBot="1" x14ac:dyDescent="0.4">
      <c r="A88" s="5">
        <f t="shared" ref="A88:D88" si="26">A54</f>
        <v>0</v>
      </c>
      <c r="B88" s="5">
        <f t="shared" si="26"/>
        <v>2</v>
      </c>
      <c r="C88" s="5">
        <f t="shared" si="26"/>
        <v>0</v>
      </c>
      <c r="D88" s="5">
        <f t="shared" si="26"/>
        <v>0</v>
      </c>
      <c r="E88" s="41" t="str">
        <f t="shared" si="12"/>
        <v>Se2</v>
      </c>
      <c r="F88" s="46">
        <f t="shared" ref="F88:X88" si="27">F10*$C$80</f>
        <v>4.9639166666666673E-17</v>
      </c>
      <c r="G88" s="46">
        <f t="shared" si="27"/>
        <v>9.3308333333333334E-10</v>
      </c>
      <c r="H88" s="46">
        <f t="shared" si="27"/>
        <v>1.2854166666666667E-8</v>
      </c>
      <c r="I88" s="46">
        <f t="shared" si="27"/>
        <v>1.2278333333333334E-7</v>
      </c>
      <c r="J88" s="46">
        <f t="shared" si="27"/>
        <v>8.7758333333333337E-7</v>
      </c>
      <c r="K88" s="46">
        <f t="shared" si="27"/>
        <v>4.9994166666666675E-6</v>
      </c>
      <c r="L88" s="46">
        <f t="shared" si="27"/>
        <v>1.2245000000000001E-3</v>
      </c>
      <c r="M88" s="46">
        <f t="shared" si="27"/>
        <v>3.5357500000000003E-3</v>
      </c>
      <c r="N88" s="46">
        <f t="shared" si="27"/>
        <v>9.1191666666666678E-3</v>
      </c>
      <c r="O88" s="46">
        <f t="shared" si="27"/>
        <v>2.1315833333333336E-2</v>
      </c>
      <c r="P88" s="46">
        <f t="shared" si="27"/>
        <v>4.5752500000000002E-2</v>
      </c>
      <c r="Q88" s="46">
        <f t="shared" si="27"/>
        <v>0.44880000000000003</v>
      </c>
      <c r="R88" s="46">
        <f t="shared" si="27"/>
        <v>0.64131666666666665</v>
      </c>
      <c r="S88" s="46">
        <f t="shared" si="27"/>
        <v>0.84083333333333343</v>
      </c>
      <c r="T88" s="46">
        <f t="shared" si="27"/>
        <v>1.0150000000000001</v>
      </c>
      <c r="U88" s="46">
        <f t="shared" si="27"/>
        <v>1.1523333333333332</v>
      </c>
      <c r="V88" s="46">
        <f t="shared" si="27"/>
        <v>1.4131666666666669</v>
      </c>
      <c r="W88" s="46">
        <f t="shared" si="27"/>
        <v>1.4918333333333336</v>
      </c>
      <c r="X88" s="46">
        <f t="shared" si="27"/>
        <v>1.5245833333333334</v>
      </c>
    </row>
    <row r="89" spans="1:24" ht="21" hidden="1" customHeight="1" outlineLevel="1" thickBot="1" x14ac:dyDescent="0.4">
      <c r="A89" s="5">
        <f t="shared" ref="A89:D89" si="28">A55</f>
        <v>0</v>
      </c>
      <c r="B89" s="5">
        <f t="shared" si="28"/>
        <v>1</v>
      </c>
      <c r="C89" s="5">
        <f t="shared" si="28"/>
        <v>0</v>
      </c>
      <c r="D89" s="5">
        <f t="shared" si="28"/>
        <v>0</v>
      </c>
      <c r="E89" s="41" t="str">
        <f t="shared" si="12"/>
        <v>Se</v>
      </c>
      <c r="F89" s="46">
        <f t="shared" ref="F89:X89" si="29">F11*$C$80</f>
        <v>5.3360833333333337E-35</v>
      </c>
      <c r="G89" s="46">
        <f t="shared" si="29"/>
        <v>2.1621666666666667E-22</v>
      </c>
      <c r="H89" s="46">
        <f t="shared" si="29"/>
        <v>2.2006666666666669E-20</v>
      </c>
      <c r="I89" s="46">
        <f t="shared" si="29"/>
        <v>1.1986666666666667E-18</v>
      </c>
      <c r="J89" s="46">
        <f t="shared" si="29"/>
        <v>3.9517500000000006E-17</v>
      </c>
      <c r="K89" s="46">
        <f t="shared" si="29"/>
        <v>8.6974999999999998E-16</v>
      </c>
      <c r="L89" s="46">
        <f t="shared" si="29"/>
        <v>1.27775E-11</v>
      </c>
      <c r="M89" s="46">
        <f t="shared" si="29"/>
        <v>8.1681666666666668E-11</v>
      </c>
      <c r="N89" s="46">
        <f t="shared" si="29"/>
        <v>4.3888333333333338E-10</v>
      </c>
      <c r="O89" s="46">
        <f t="shared" si="29"/>
        <v>2.0298333333333335E-9</v>
      </c>
      <c r="P89" s="46">
        <f t="shared" si="29"/>
        <v>8.2550000000000018E-9</v>
      </c>
      <c r="Q89" s="46">
        <f t="shared" si="29"/>
        <v>8.0377499999999998E-7</v>
      </c>
      <c r="R89" s="46">
        <f t="shared" si="29"/>
        <v>1.9872499999999999E-6</v>
      </c>
      <c r="S89" s="46">
        <f t="shared" si="29"/>
        <v>4.4866666666666672E-6</v>
      </c>
      <c r="T89" s="46">
        <f t="shared" si="29"/>
        <v>9.2766666666666671E-6</v>
      </c>
      <c r="U89" s="46">
        <f t="shared" si="29"/>
        <v>1.7827500000000002E-5</v>
      </c>
      <c r="V89" s="46">
        <f t="shared" si="29"/>
        <v>1.4827500000000001E-4</v>
      </c>
      <c r="W89" s="46">
        <f t="shared" si="29"/>
        <v>7.6382499999999999E-4</v>
      </c>
      <c r="X89" s="46">
        <f t="shared" si="29"/>
        <v>2.9072500000000001E-3</v>
      </c>
    </row>
    <row r="90" spans="1:24" ht="21" hidden="1" customHeight="1" outlineLevel="1" thickBot="1" x14ac:dyDescent="0.4">
      <c r="A90" s="5">
        <f t="shared" ref="A90:D90" si="30">A56</f>
        <v>0</v>
      </c>
      <c r="B90" s="5">
        <f t="shared" si="30"/>
        <v>1</v>
      </c>
      <c r="C90" s="5">
        <f t="shared" si="30"/>
        <v>0</v>
      </c>
      <c r="D90" s="5">
        <f t="shared" si="30"/>
        <v>2</v>
      </c>
      <c r="E90" s="41" t="str">
        <f t="shared" si="12"/>
        <v>Ga2Se</v>
      </c>
      <c r="F90" s="46">
        <f t="shared" ref="F90:X90" si="31">F12*$C$80</f>
        <v>2.1291666666666667E-8</v>
      </c>
      <c r="G90" s="46">
        <f t="shared" si="31"/>
        <v>3.9760000000000002E-4</v>
      </c>
      <c r="H90" s="46">
        <f t="shared" si="31"/>
        <v>1.7964166666666669E-3</v>
      </c>
      <c r="I90" s="46">
        <f t="shared" si="31"/>
        <v>6.4875833333333339E-3</v>
      </c>
      <c r="J90" s="46">
        <f t="shared" si="31"/>
        <v>1.9484166666666667E-2</v>
      </c>
      <c r="K90" s="46">
        <f t="shared" si="31"/>
        <v>4.9871666666666668E-2</v>
      </c>
      <c r="L90" s="46">
        <f t="shared" si="31"/>
        <v>0.43657499999999999</v>
      </c>
      <c r="M90" s="46">
        <f t="shared" si="31"/>
        <v>0.52650000000000008</v>
      </c>
      <c r="N90" s="46">
        <f t="shared" si="31"/>
        <v>0.59495833333333337</v>
      </c>
      <c r="O90" s="46">
        <f t="shared" si="31"/>
        <v>0.6463416666666667</v>
      </c>
      <c r="P90" s="46">
        <f t="shared" si="31"/>
        <v>0.68597500000000011</v>
      </c>
      <c r="Q90" s="46">
        <f t="shared" si="31"/>
        <v>0.78056666666666674</v>
      </c>
      <c r="R90" s="46">
        <f t="shared" si="31"/>
        <v>0.79231666666666667</v>
      </c>
      <c r="S90" s="46">
        <f t="shared" si="31"/>
        <v>0.80061666666666675</v>
      </c>
      <c r="T90" s="46">
        <f t="shared" si="31"/>
        <v>0.80600833333333344</v>
      </c>
      <c r="U90" s="46">
        <f t="shared" si="31"/>
        <v>0.80959166666666671</v>
      </c>
      <c r="V90" s="46">
        <f t="shared" si="31"/>
        <v>0.81568333333333332</v>
      </c>
      <c r="W90" s="46">
        <f t="shared" si="31"/>
        <v>0.81739166666666663</v>
      </c>
      <c r="X90" s="46">
        <f t="shared" si="31"/>
        <v>0.81794166666666679</v>
      </c>
    </row>
    <row r="91" spans="1:24" ht="21" hidden="1" customHeight="1" outlineLevel="1" thickBot="1" x14ac:dyDescent="0.4">
      <c r="A91" s="5">
        <f t="shared" ref="A91:D91" si="32">A57</f>
        <v>1</v>
      </c>
      <c r="B91" s="5">
        <f t="shared" si="32"/>
        <v>0</v>
      </c>
      <c r="C91" s="5">
        <f t="shared" si="32"/>
        <v>0</v>
      </c>
      <c r="D91" s="5">
        <f t="shared" si="32"/>
        <v>0</v>
      </c>
      <c r="E91" s="41" t="str">
        <f t="shared" si="12"/>
        <v>Ar</v>
      </c>
      <c r="F91" s="46">
        <f t="shared" ref="F91:X91" si="33">F13*$C$80</f>
        <v>1.666666666666667</v>
      </c>
      <c r="G91" s="46">
        <f t="shared" si="33"/>
        <v>1.666666666666667</v>
      </c>
      <c r="H91" s="46">
        <f t="shared" si="33"/>
        <v>1.666666666666667</v>
      </c>
      <c r="I91" s="46">
        <f t="shared" si="33"/>
        <v>1.666666666666667</v>
      </c>
      <c r="J91" s="46">
        <f t="shared" si="33"/>
        <v>1.666666666666667</v>
      </c>
      <c r="K91" s="46">
        <f t="shared" si="33"/>
        <v>1.666666666666667</v>
      </c>
      <c r="L91" s="46">
        <f t="shared" si="33"/>
        <v>1.666666666666667</v>
      </c>
      <c r="M91" s="46">
        <f t="shared" si="33"/>
        <v>1.666666666666667</v>
      </c>
      <c r="N91" s="46">
        <f t="shared" si="33"/>
        <v>1.666666666666667</v>
      </c>
      <c r="O91" s="46">
        <f t="shared" si="33"/>
        <v>1.666666666666667</v>
      </c>
      <c r="P91" s="46">
        <f t="shared" si="33"/>
        <v>1.666666666666667</v>
      </c>
      <c r="Q91" s="46">
        <f t="shared" si="33"/>
        <v>1.666666666666667</v>
      </c>
      <c r="R91" s="46">
        <f t="shared" si="33"/>
        <v>1.666666666666667</v>
      </c>
      <c r="S91" s="46">
        <f t="shared" si="33"/>
        <v>1.666666666666667</v>
      </c>
      <c r="T91" s="46">
        <f t="shared" si="33"/>
        <v>1.666666666666667</v>
      </c>
      <c r="U91" s="46">
        <f t="shared" si="33"/>
        <v>1.666666666666667</v>
      </c>
      <c r="V91" s="46">
        <f t="shared" si="33"/>
        <v>1.666666666666667</v>
      </c>
      <c r="W91" s="46">
        <f t="shared" si="33"/>
        <v>1.666666666666667</v>
      </c>
      <c r="X91" s="46">
        <f t="shared" si="33"/>
        <v>1.666666666666667</v>
      </c>
    </row>
    <row r="92" spans="1:24" ht="21" hidden="1" customHeight="1" outlineLevel="1" thickBot="1" x14ac:dyDescent="0.4">
      <c r="A92" s="5">
        <f t="shared" ref="A92:D92" si="34">A58</f>
        <v>0</v>
      </c>
      <c r="B92" s="5">
        <f t="shared" si="34"/>
        <v>0</v>
      </c>
      <c r="C92" s="5">
        <f t="shared" si="34"/>
        <v>0</v>
      </c>
      <c r="D92" s="5">
        <f t="shared" si="34"/>
        <v>1</v>
      </c>
      <c r="E92" s="41" t="str">
        <f t="shared" si="12"/>
        <v>(l)Ga[l]</v>
      </c>
      <c r="F92" s="46">
        <f t="shared" ref="F92:X92" si="35">F14*$C$80</f>
        <v>1.666666666666667</v>
      </c>
      <c r="G92" s="46">
        <f t="shared" si="35"/>
        <v>1.6658333333333335</v>
      </c>
      <c r="H92" s="46">
        <f t="shared" si="35"/>
        <v>1.6630833333333335</v>
      </c>
      <c r="I92" s="46">
        <f t="shared" si="35"/>
        <v>1.6536666666666668</v>
      </c>
      <c r="J92" s="46">
        <f t="shared" si="35"/>
        <v>1.6276666666666668</v>
      </c>
      <c r="K92" s="46">
        <f t="shared" si="35"/>
        <v>1.5669166666666667</v>
      </c>
      <c r="L92" s="46">
        <f t="shared" si="35"/>
        <v>0.79352500000000004</v>
      </c>
      <c r="M92" s="46">
        <f t="shared" si="35"/>
        <v>0.61366666666666669</v>
      </c>
      <c r="N92" s="46">
        <f t="shared" si="35"/>
        <v>0.47675000000000001</v>
      </c>
      <c r="O92" s="46">
        <f t="shared" si="35"/>
        <v>0.37398333333333339</v>
      </c>
      <c r="P92" s="46">
        <f t="shared" si="35"/>
        <v>0.29472500000000007</v>
      </c>
      <c r="Q92" s="46">
        <f t="shared" si="35"/>
        <v>0.10554166666666667</v>
      </c>
      <c r="R92" s="46">
        <f t="shared" si="35"/>
        <v>8.2029166666666667E-2</v>
      </c>
      <c r="S92" s="46">
        <f t="shared" si="35"/>
        <v>6.5436666666666671E-2</v>
      </c>
      <c r="T92" s="46">
        <f t="shared" si="35"/>
        <v>5.4655833333333334E-2</v>
      </c>
      <c r="U92" s="46">
        <f t="shared" si="35"/>
        <v>4.7478333333333338E-2</v>
      </c>
      <c r="V92" s="46">
        <f t="shared" si="35"/>
        <v>3.5303333333333339E-2</v>
      </c>
      <c r="W92" s="46">
        <f t="shared" si="35"/>
        <v>3.1876666666666671E-2</v>
      </c>
      <c r="X92" s="46">
        <f t="shared" si="35"/>
        <v>3.0763333333333337E-2</v>
      </c>
    </row>
    <row r="93" spans="1:24" ht="21" hidden="1" customHeight="1" outlineLevel="1" thickBot="1" x14ac:dyDescent="0.4">
      <c r="A93" s="5">
        <f t="shared" ref="A93:D93" si="36">A59</f>
        <v>0</v>
      </c>
      <c r="B93" s="5">
        <f t="shared" si="36"/>
        <v>0</v>
      </c>
      <c r="C93" s="5">
        <f t="shared" si="36"/>
        <v>1</v>
      </c>
      <c r="D93" s="5">
        <f t="shared" si="36"/>
        <v>0</v>
      </c>
      <c r="E93" s="41" t="str">
        <f t="shared" si="12"/>
        <v>(l)Ge[l]</v>
      </c>
      <c r="F93" s="46">
        <f t="shared" ref="F93:X93" si="37">F15*$C$80</f>
        <v>1</v>
      </c>
      <c r="G93" s="46">
        <f t="shared" si="37"/>
        <v>1</v>
      </c>
      <c r="H93" s="46">
        <f t="shared" si="37"/>
        <v>1</v>
      </c>
      <c r="I93" s="46">
        <f t="shared" si="37"/>
        <v>1</v>
      </c>
      <c r="J93" s="46">
        <f t="shared" si="37"/>
        <v>1</v>
      </c>
      <c r="K93" s="46">
        <f t="shared" si="37"/>
        <v>1</v>
      </c>
      <c r="L93" s="46">
        <f t="shared" si="37"/>
        <v>1</v>
      </c>
      <c r="M93" s="46">
        <f t="shared" si="37"/>
        <v>1</v>
      </c>
      <c r="N93" s="46">
        <f t="shared" si="37"/>
        <v>1</v>
      </c>
      <c r="O93" s="46">
        <f t="shared" si="37"/>
        <v>1</v>
      </c>
      <c r="P93" s="46">
        <f t="shared" si="37"/>
        <v>1</v>
      </c>
      <c r="Q93" s="46">
        <f t="shared" si="37"/>
        <v>1</v>
      </c>
      <c r="R93" s="46">
        <f t="shared" si="37"/>
        <v>1</v>
      </c>
      <c r="S93" s="46">
        <f t="shared" si="37"/>
        <v>1</v>
      </c>
      <c r="T93" s="46">
        <f t="shared" si="37"/>
        <v>1</v>
      </c>
      <c r="U93" s="46">
        <f t="shared" si="37"/>
        <v>1</v>
      </c>
      <c r="V93" s="46">
        <f t="shared" si="37"/>
        <v>1</v>
      </c>
      <c r="W93" s="46">
        <f t="shared" si="37"/>
        <v>1</v>
      </c>
      <c r="X93" s="46">
        <f t="shared" si="37"/>
        <v>1</v>
      </c>
    </row>
    <row r="94" spans="1:24" ht="21" hidden="1" customHeight="1" outlineLevel="1" thickBot="1" x14ac:dyDescent="0.4">
      <c r="A94" s="5">
        <f t="shared" ref="A94:D94" si="38">A60</f>
        <v>0</v>
      </c>
      <c r="B94" s="5">
        <f t="shared" si="38"/>
        <v>1</v>
      </c>
      <c r="C94" s="5">
        <f t="shared" si="38"/>
        <v>0</v>
      </c>
      <c r="D94" s="5">
        <f t="shared" si="38"/>
        <v>0</v>
      </c>
      <c r="E94" s="41" t="str">
        <f t="shared" si="12"/>
        <v>(l)Se[l]</v>
      </c>
      <c r="F94" s="46">
        <f t="shared" ref="F94:X94" si="39">F16*$C$80</f>
        <v>4</v>
      </c>
      <c r="G94" s="46">
        <f t="shared" si="39"/>
        <v>3.9995833333333337</v>
      </c>
      <c r="H94" s="46">
        <f t="shared" si="39"/>
        <v>3.9981666666666666</v>
      </c>
      <c r="I94" s="46">
        <f t="shared" si="39"/>
        <v>3.9935</v>
      </c>
      <c r="J94" s="46">
        <f t="shared" si="39"/>
        <v>3.9805000000000001</v>
      </c>
      <c r="K94" s="46">
        <f t="shared" si="39"/>
        <v>3.95</v>
      </c>
      <c r="L94" s="46">
        <f t="shared" si="39"/>
        <v>3.5514166666666669</v>
      </c>
      <c r="M94" s="46">
        <f t="shared" si="39"/>
        <v>3.4427500000000002</v>
      </c>
      <c r="N94" s="46">
        <f t="shared" si="39"/>
        <v>3.3343333333333334</v>
      </c>
      <c r="O94" s="46">
        <f t="shared" si="39"/>
        <v>3.2068333333333334</v>
      </c>
      <c r="P94" s="46">
        <f t="shared" si="39"/>
        <v>3.03525</v>
      </c>
      <c r="Q94" s="46">
        <f t="shared" si="39"/>
        <v>1.6905000000000001</v>
      </c>
      <c r="R94" s="46">
        <f t="shared" si="39"/>
        <v>1.3230833333333334</v>
      </c>
      <c r="S94" s="46">
        <f t="shared" si="39"/>
        <v>1.0115000000000001</v>
      </c>
      <c r="T94" s="46">
        <f t="shared" si="39"/>
        <v>0.78046666666666675</v>
      </c>
      <c r="U94" s="46">
        <f t="shared" si="39"/>
        <v>0.60879166666666662</v>
      </c>
      <c r="V94" s="46">
        <f t="shared" si="39"/>
        <v>0.26844166666666669</v>
      </c>
      <c r="W94" s="46">
        <f t="shared" si="39"/>
        <v>0.14959166666666668</v>
      </c>
      <c r="X94" s="46">
        <f t="shared" si="39"/>
        <v>9.6491666666666684E-2</v>
      </c>
    </row>
    <row r="95" spans="1:24" ht="21" hidden="1" customHeight="1" outlineLevel="1" thickBot="1" x14ac:dyDescent="0.4">
      <c r="A95" s="5">
        <f t="shared" ref="A95:D95" si="40">A61</f>
        <v>0</v>
      </c>
      <c r="B95" s="5">
        <f t="shared" si="40"/>
        <v>0</v>
      </c>
      <c r="C95" s="5">
        <f t="shared" si="40"/>
        <v>0</v>
      </c>
      <c r="D95" s="5">
        <f t="shared" si="40"/>
        <v>0</v>
      </c>
      <c r="E95" s="41" t="str">
        <f t="shared" si="12"/>
        <v>H(Аг)</v>
      </c>
      <c r="F95" s="46">
        <f t="shared" ref="F95:X95" si="41">F17*$C$80</f>
        <v>-155.08333333333334</v>
      </c>
      <c r="G95" s="46">
        <f t="shared" si="41"/>
        <v>-156.33333333333337</v>
      </c>
      <c r="H95" s="46">
        <f t="shared" si="41"/>
        <v>-156.91666666666666</v>
      </c>
      <c r="I95" s="46">
        <f t="shared" si="41"/>
        <v>-157.5</v>
      </c>
      <c r="J95" s="46">
        <f t="shared" si="41"/>
        <v>-158.08333333333334</v>
      </c>
      <c r="K95" s="46">
        <f t="shared" si="41"/>
        <v>-158.83333333333334</v>
      </c>
      <c r="L95" s="46">
        <f t="shared" si="41"/>
        <v>-162.83333333333334</v>
      </c>
      <c r="M95" s="46">
        <f t="shared" si="41"/>
        <v>-163.75</v>
      </c>
      <c r="N95" s="46">
        <f t="shared" si="41"/>
        <v>-164.66666666666669</v>
      </c>
      <c r="O95" s="46">
        <f t="shared" si="41"/>
        <v>-165.41666666666669</v>
      </c>
      <c r="P95" s="46">
        <f t="shared" si="41"/>
        <v>-166.25</v>
      </c>
      <c r="Q95" s="46">
        <f t="shared" si="41"/>
        <v>-170.16666666666669</v>
      </c>
      <c r="R95" s="46">
        <f t="shared" si="41"/>
        <v>-171.16666666666669</v>
      </c>
      <c r="S95" s="46">
        <f t="shared" si="41"/>
        <v>-172.16666666666669</v>
      </c>
      <c r="T95" s="46">
        <f t="shared" si="41"/>
        <v>-173.00000000000003</v>
      </c>
      <c r="U95" s="46">
        <f t="shared" si="41"/>
        <v>-173.75000000000003</v>
      </c>
      <c r="V95" s="46">
        <f t="shared" si="41"/>
        <v>-176.00000000000003</v>
      </c>
      <c r="W95" s="46">
        <f t="shared" si="41"/>
        <v>-177.83333333333334</v>
      </c>
      <c r="X95" s="46">
        <f t="shared" si="41"/>
        <v>-179.41666666666669</v>
      </c>
    </row>
    <row r="96" spans="1:24" ht="21" hidden="1" customHeight="1" outlineLevel="1" thickBot="1" x14ac:dyDescent="0.4">
      <c r="A96" s="5">
        <f t="shared" ref="A96:D96" si="42">A62</f>
        <v>0</v>
      </c>
      <c r="B96" s="5">
        <f t="shared" si="42"/>
        <v>0</v>
      </c>
      <c r="C96" s="5">
        <f t="shared" si="42"/>
        <v>0</v>
      </c>
      <c r="D96" s="5">
        <f t="shared" si="42"/>
        <v>1</v>
      </c>
      <c r="E96" s="41" t="str">
        <f t="shared" si="12"/>
        <v>H(Ga)</v>
      </c>
      <c r="F96" s="46">
        <f t="shared" ref="F96:X96" si="43">F18*$C$80</f>
        <v>-52.050000000000004</v>
      </c>
      <c r="G96" s="46">
        <f t="shared" si="43"/>
        <v>-59.56666666666667</v>
      </c>
      <c r="H96" s="46">
        <f t="shared" si="43"/>
        <v>-61.20000000000001</v>
      </c>
      <c r="I96" s="46">
        <f t="shared" si="43"/>
        <v>-62.758333333333333</v>
      </c>
      <c r="J96" s="46">
        <f t="shared" si="43"/>
        <v>-64.300000000000011</v>
      </c>
      <c r="K96" s="46">
        <f t="shared" si="43"/>
        <v>-65.891666666666666</v>
      </c>
      <c r="L96" s="46">
        <f t="shared" si="43"/>
        <v>-74.833333333333343</v>
      </c>
      <c r="M96" s="46">
        <f t="shared" si="43"/>
        <v>-77.64166666666668</v>
      </c>
      <c r="N96" s="46">
        <f t="shared" si="43"/>
        <v>-80.39166666666668</v>
      </c>
      <c r="O96" s="46">
        <f t="shared" si="43"/>
        <v>-83.025000000000006</v>
      </c>
      <c r="P96" s="46">
        <f t="shared" si="43"/>
        <v>-85.5</v>
      </c>
      <c r="Q96" s="46">
        <f t="shared" si="43"/>
        <v>-94</v>
      </c>
      <c r="R96" s="46">
        <f t="shared" si="43"/>
        <v>-95.750000000000014</v>
      </c>
      <c r="S96" s="46">
        <f t="shared" si="43"/>
        <v>-97.166666666666671</v>
      </c>
      <c r="T96" s="46">
        <f t="shared" si="43"/>
        <v>-98.416666666666671</v>
      </c>
      <c r="U96" s="46">
        <f t="shared" si="43"/>
        <v>-99.5</v>
      </c>
      <c r="V96" s="46">
        <f t="shared" si="43"/>
        <v>-102.83333333333334</v>
      </c>
      <c r="W96" s="46">
        <f t="shared" si="43"/>
        <v>-105.41666666666667</v>
      </c>
      <c r="X96" s="46">
        <f t="shared" si="43"/>
        <v>-107.66666666666667</v>
      </c>
    </row>
    <row r="97" spans="1:24" ht="21" hidden="1" customHeight="1" outlineLevel="1" thickBot="1" x14ac:dyDescent="0.4">
      <c r="A97" s="5">
        <f t="shared" ref="A97:D97" si="44">A63</f>
        <v>0</v>
      </c>
      <c r="B97" s="5">
        <f t="shared" si="44"/>
        <v>0</v>
      </c>
      <c r="C97" s="5">
        <f t="shared" si="44"/>
        <v>1</v>
      </c>
      <c r="D97" s="5">
        <f t="shared" si="44"/>
        <v>0</v>
      </c>
      <c r="E97" s="41" t="str">
        <f t="shared" si="12"/>
        <v>H(Ge)</v>
      </c>
      <c r="F97" s="46">
        <f t="shared" ref="F97:X97" si="45">F19*$C$80</f>
        <v>44.725000000000001</v>
      </c>
      <c r="G97" s="46">
        <f t="shared" si="45"/>
        <v>6.1383333333333336</v>
      </c>
      <c r="H97" s="46">
        <f t="shared" si="45"/>
        <v>-0.46116666666666672</v>
      </c>
      <c r="I97" s="46">
        <f t="shared" si="45"/>
        <v>-6.2966666666666677</v>
      </c>
      <c r="J97" s="46">
        <f t="shared" si="45"/>
        <v>-11.483333333333333</v>
      </c>
      <c r="K97" s="46">
        <f t="shared" si="45"/>
        <v>-16.083333333333336</v>
      </c>
      <c r="L97" s="46">
        <f t="shared" si="45"/>
        <v>-29.541666666666668</v>
      </c>
      <c r="M97" s="46">
        <f t="shared" si="45"/>
        <v>-32.150000000000006</v>
      </c>
      <c r="N97" s="46">
        <f t="shared" si="45"/>
        <v>-34.6</v>
      </c>
      <c r="O97" s="46">
        <f t="shared" si="45"/>
        <v>-36.858333333333334</v>
      </c>
      <c r="P97" s="46">
        <f t="shared" si="45"/>
        <v>-38.900000000000006</v>
      </c>
      <c r="Q97" s="46">
        <f t="shared" si="45"/>
        <v>-43.908333333333339</v>
      </c>
      <c r="R97" s="46">
        <f t="shared" si="45"/>
        <v>-44.541666666666664</v>
      </c>
      <c r="S97" s="46">
        <f t="shared" si="45"/>
        <v>-45.108333333333341</v>
      </c>
      <c r="T97" s="46">
        <f t="shared" si="45"/>
        <v>-45.783333333333331</v>
      </c>
      <c r="U97" s="46">
        <f t="shared" si="45"/>
        <v>-46.56666666666667</v>
      </c>
      <c r="V97" s="46">
        <f t="shared" si="45"/>
        <v>-50.433333333333337</v>
      </c>
      <c r="W97" s="46">
        <f t="shared" si="45"/>
        <v>-54.625</v>
      </c>
      <c r="X97" s="46">
        <f t="shared" si="45"/>
        <v>-58.591666666666669</v>
      </c>
    </row>
    <row r="98" spans="1:24" ht="21" hidden="1" customHeight="1" outlineLevel="1" thickBot="1" x14ac:dyDescent="0.4">
      <c r="A98" s="5">
        <f t="shared" ref="A98:D98" si="46">A64</f>
        <v>0</v>
      </c>
      <c r="B98" s="5">
        <f t="shared" si="46"/>
        <v>1</v>
      </c>
      <c r="C98" s="5">
        <f t="shared" si="46"/>
        <v>0</v>
      </c>
      <c r="D98" s="5">
        <f t="shared" si="46"/>
        <v>0</v>
      </c>
      <c r="E98" s="41" t="str">
        <f t="shared" si="12"/>
        <v>H(Se)</v>
      </c>
      <c r="F98" s="46">
        <f t="shared" ref="F98:X98" si="47">F20*$C$80</f>
        <v>-40.200000000000003</v>
      </c>
      <c r="G98" s="46">
        <f t="shared" si="47"/>
        <v>-46.625</v>
      </c>
      <c r="H98" s="46">
        <f t="shared" si="47"/>
        <v>-48.233333333333341</v>
      </c>
      <c r="I98" s="46">
        <f t="shared" si="47"/>
        <v>-49.791666666666664</v>
      </c>
      <c r="J98" s="46">
        <f t="shared" si="47"/>
        <v>-51.291666666666671</v>
      </c>
      <c r="K98" s="46">
        <f t="shared" si="47"/>
        <v>-52.716666666666669</v>
      </c>
      <c r="L98" s="46">
        <f t="shared" si="47"/>
        <v>-57.35</v>
      </c>
      <c r="M98" s="46">
        <f t="shared" si="47"/>
        <v>-58.38333333333334</v>
      </c>
      <c r="N98" s="46">
        <f t="shared" si="47"/>
        <v>-59.433333333333337</v>
      </c>
      <c r="O98" s="46">
        <f t="shared" si="47"/>
        <v>-60.50833333333334</v>
      </c>
      <c r="P98" s="46">
        <f t="shared" si="47"/>
        <v>-61.616666666666674</v>
      </c>
      <c r="Q98" s="46">
        <f t="shared" si="47"/>
        <v>-67.00833333333334</v>
      </c>
      <c r="R98" s="46">
        <f t="shared" si="47"/>
        <v>-68.76666666666668</v>
      </c>
      <c r="S98" s="46">
        <f t="shared" si="47"/>
        <v>-70.683333333333337</v>
      </c>
      <c r="T98" s="46">
        <f t="shared" si="47"/>
        <v>-72.733333333333334</v>
      </c>
      <c r="U98" s="46">
        <f t="shared" si="47"/>
        <v>-74.849999999999994</v>
      </c>
      <c r="V98" s="46">
        <f t="shared" si="47"/>
        <v>-83.066666666666677</v>
      </c>
      <c r="W98" s="46">
        <f t="shared" si="47"/>
        <v>-90.25</v>
      </c>
      <c r="X98" s="46">
        <f t="shared" si="47"/>
        <v>-96.333333333333343</v>
      </c>
    </row>
    <row r="99" spans="1:24" ht="21" hidden="1" customHeight="1" outlineLevel="1" thickBot="1" x14ac:dyDescent="0.4">
      <c r="A99" s="5">
        <f t="shared" ref="A99:D99" si="48">A65</f>
        <v>0</v>
      </c>
      <c r="B99" s="5">
        <f t="shared" si="48"/>
        <v>0</v>
      </c>
      <c r="C99" s="5">
        <f t="shared" si="48"/>
        <v>0</v>
      </c>
      <c r="D99" s="5">
        <f t="shared" si="48"/>
        <v>0</v>
      </c>
      <c r="E99" s="41">
        <f t="shared" si="12"/>
        <v>0</v>
      </c>
      <c r="F99" s="46">
        <f t="shared" ref="F99:X99" si="49">F21*$C$80</f>
        <v>0</v>
      </c>
      <c r="G99" s="46">
        <f t="shared" si="49"/>
        <v>0</v>
      </c>
      <c r="H99" s="46">
        <f t="shared" si="49"/>
        <v>0</v>
      </c>
      <c r="I99" s="46">
        <f t="shared" si="49"/>
        <v>0</v>
      </c>
      <c r="J99" s="46">
        <f t="shared" si="49"/>
        <v>0</v>
      </c>
      <c r="K99" s="46">
        <f t="shared" si="49"/>
        <v>0</v>
      </c>
      <c r="L99" s="46">
        <f t="shared" si="49"/>
        <v>0</v>
      </c>
      <c r="M99" s="46">
        <f t="shared" si="49"/>
        <v>0</v>
      </c>
      <c r="N99" s="46">
        <f t="shared" si="49"/>
        <v>0</v>
      </c>
      <c r="O99" s="46">
        <f t="shared" si="49"/>
        <v>0</v>
      </c>
      <c r="P99" s="46">
        <f t="shared" si="49"/>
        <v>0</v>
      </c>
      <c r="Q99" s="46">
        <f t="shared" si="49"/>
        <v>0</v>
      </c>
      <c r="R99" s="46">
        <f t="shared" si="49"/>
        <v>0</v>
      </c>
      <c r="S99" s="46">
        <f t="shared" si="49"/>
        <v>0</v>
      </c>
      <c r="T99" s="46">
        <f t="shared" si="49"/>
        <v>0</v>
      </c>
      <c r="U99" s="46">
        <f t="shared" si="49"/>
        <v>0</v>
      </c>
      <c r="V99" s="46">
        <f t="shared" si="49"/>
        <v>0</v>
      </c>
      <c r="W99" s="46">
        <f t="shared" si="49"/>
        <v>0</v>
      </c>
      <c r="X99" s="46">
        <f t="shared" si="49"/>
        <v>0</v>
      </c>
    </row>
    <row r="100" spans="1:24" ht="21" hidden="1" customHeight="1" outlineLevel="1" thickBot="1" x14ac:dyDescent="0.4">
      <c r="A100" s="5">
        <f t="shared" ref="A100:D100" si="50">A66</f>
        <v>0</v>
      </c>
      <c r="B100" s="5">
        <f t="shared" si="50"/>
        <v>0</v>
      </c>
      <c r="C100" s="5">
        <f t="shared" si="50"/>
        <v>0</v>
      </c>
      <c r="D100" s="5">
        <f t="shared" si="50"/>
        <v>0</v>
      </c>
      <c r="E100" s="41">
        <f t="shared" si="12"/>
        <v>0</v>
      </c>
      <c r="F100" s="46">
        <f t="shared" ref="F100:X100" si="51">F22*$C$80</f>
        <v>0</v>
      </c>
      <c r="G100" s="46">
        <f t="shared" si="51"/>
        <v>0</v>
      </c>
      <c r="H100" s="46">
        <f t="shared" si="51"/>
        <v>0</v>
      </c>
      <c r="I100" s="46">
        <f t="shared" si="51"/>
        <v>0</v>
      </c>
      <c r="J100" s="46">
        <f t="shared" si="51"/>
        <v>0</v>
      </c>
      <c r="K100" s="46">
        <f t="shared" si="51"/>
        <v>0</v>
      </c>
      <c r="L100" s="46">
        <f t="shared" si="51"/>
        <v>0</v>
      </c>
      <c r="M100" s="46">
        <f t="shared" si="51"/>
        <v>0</v>
      </c>
      <c r="N100" s="46">
        <f t="shared" si="51"/>
        <v>0</v>
      </c>
      <c r="O100" s="46">
        <f t="shared" si="51"/>
        <v>0</v>
      </c>
      <c r="P100" s="46">
        <f t="shared" si="51"/>
        <v>0</v>
      </c>
      <c r="Q100" s="46">
        <f t="shared" si="51"/>
        <v>0</v>
      </c>
      <c r="R100" s="46">
        <f t="shared" si="51"/>
        <v>0</v>
      </c>
      <c r="S100" s="46">
        <f t="shared" si="51"/>
        <v>0</v>
      </c>
      <c r="T100" s="46">
        <f t="shared" si="51"/>
        <v>0</v>
      </c>
      <c r="U100" s="46">
        <f t="shared" si="51"/>
        <v>0</v>
      </c>
      <c r="V100" s="46">
        <f t="shared" si="51"/>
        <v>0</v>
      </c>
      <c r="W100" s="46">
        <f t="shared" si="51"/>
        <v>0</v>
      </c>
      <c r="X100" s="46">
        <f t="shared" si="51"/>
        <v>0</v>
      </c>
    </row>
    <row r="101" spans="1:24" ht="21" hidden="1" customHeight="1" outlineLevel="1" thickBot="1" x14ac:dyDescent="0.4">
      <c r="A101" s="5">
        <f t="shared" ref="A101:D101" si="52">A67</f>
        <v>0</v>
      </c>
      <c r="B101" s="5">
        <f t="shared" si="52"/>
        <v>0</v>
      </c>
      <c r="C101" s="5">
        <f t="shared" si="52"/>
        <v>0</v>
      </c>
      <c r="D101" s="5">
        <f t="shared" si="52"/>
        <v>0</v>
      </c>
      <c r="E101" s="41">
        <f t="shared" si="12"/>
        <v>0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</row>
    <row r="102" spans="1:24" ht="21" hidden="1" customHeight="1" outlineLevel="1" thickBot="1" x14ac:dyDescent="0.4">
      <c r="A102" s="5">
        <f t="shared" ref="A102:D102" si="53">A68</f>
        <v>0</v>
      </c>
      <c r="B102" s="5">
        <f t="shared" si="53"/>
        <v>0</v>
      </c>
      <c r="C102" s="5">
        <f t="shared" si="53"/>
        <v>0</v>
      </c>
      <c r="D102" s="5">
        <f t="shared" si="53"/>
        <v>0</v>
      </c>
      <c r="E102" s="41">
        <f t="shared" si="12"/>
        <v>0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</row>
    <row r="103" spans="1:24" ht="21" hidden="1" customHeight="1" outlineLevel="1" thickBot="1" x14ac:dyDescent="0.4">
      <c r="A103" s="5">
        <f t="shared" ref="A103:D103" si="54">A69</f>
        <v>0</v>
      </c>
      <c r="B103" s="5">
        <f t="shared" si="54"/>
        <v>0</v>
      </c>
      <c r="C103" s="5">
        <f t="shared" si="54"/>
        <v>0</v>
      </c>
      <c r="D103" s="5">
        <f t="shared" si="54"/>
        <v>0</v>
      </c>
      <c r="E103" s="41">
        <f t="shared" si="12"/>
        <v>0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</row>
    <row r="104" spans="1:24" ht="21" hidden="1" customHeight="1" outlineLevel="1" thickBot="1" x14ac:dyDescent="0.4">
      <c r="A104" s="5">
        <f t="shared" ref="A104:D104" si="55">A70</f>
        <v>0</v>
      </c>
      <c r="B104" s="5">
        <f t="shared" si="55"/>
        <v>0</v>
      </c>
      <c r="C104" s="5">
        <f t="shared" si="55"/>
        <v>0</v>
      </c>
      <c r="D104" s="5">
        <f t="shared" si="55"/>
        <v>0</v>
      </c>
      <c r="E104" s="41">
        <f t="shared" si="12"/>
        <v>0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</row>
    <row r="105" spans="1:24" ht="21" hidden="1" customHeight="1" outlineLevel="1" thickBot="1" x14ac:dyDescent="0.4">
      <c r="A105" s="5">
        <f t="shared" ref="A105:D105" si="56">A71</f>
        <v>0</v>
      </c>
      <c r="B105" s="5">
        <f t="shared" si="56"/>
        <v>0</v>
      </c>
      <c r="C105" s="5">
        <f t="shared" si="56"/>
        <v>0</v>
      </c>
      <c r="D105" s="5">
        <f t="shared" si="56"/>
        <v>0</v>
      </c>
      <c r="E105" s="41">
        <f t="shared" si="12"/>
        <v>0</v>
      </c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</row>
    <row r="106" spans="1:24" ht="21" hidden="1" customHeight="1" outlineLevel="1" thickBot="1" x14ac:dyDescent="0.4">
      <c r="A106" s="5">
        <f t="shared" ref="A106:D106" si="57">A72</f>
        <v>0</v>
      </c>
      <c r="B106" s="5">
        <f t="shared" si="57"/>
        <v>0</v>
      </c>
      <c r="C106" s="5">
        <f t="shared" si="57"/>
        <v>0</v>
      </c>
      <c r="D106" s="5">
        <f t="shared" si="57"/>
        <v>0</v>
      </c>
      <c r="E106" s="41">
        <f t="shared" si="12"/>
        <v>0</v>
      </c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</row>
    <row r="107" spans="1:24" ht="21" hidden="1" customHeight="1" outlineLevel="1" thickBot="1" x14ac:dyDescent="0.4">
      <c r="A107" s="5">
        <f t="shared" ref="A107:D107" si="58">A73</f>
        <v>0</v>
      </c>
      <c r="B107" s="5">
        <f t="shared" si="58"/>
        <v>0</v>
      </c>
      <c r="C107" s="5">
        <f t="shared" si="58"/>
        <v>0</v>
      </c>
      <c r="D107" s="5">
        <f t="shared" si="58"/>
        <v>0</v>
      </c>
      <c r="E107" s="41">
        <f t="shared" si="12"/>
        <v>0</v>
      </c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</row>
    <row r="108" spans="1:24" ht="21" hidden="1" customHeight="1" outlineLevel="1" thickBot="1" x14ac:dyDescent="0.4">
      <c r="A108" s="5">
        <f t="shared" ref="A108:D108" si="59">A74</f>
        <v>0</v>
      </c>
      <c r="B108" s="5">
        <f t="shared" si="59"/>
        <v>0</v>
      </c>
      <c r="C108" s="5">
        <f t="shared" si="59"/>
        <v>0</v>
      </c>
      <c r="D108" s="5">
        <f t="shared" si="59"/>
        <v>0</v>
      </c>
      <c r="E108" s="41">
        <f t="shared" si="12"/>
        <v>0</v>
      </c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</row>
    <row r="109" spans="1:24" ht="21" hidden="1" customHeight="1" outlineLevel="1" thickBot="1" x14ac:dyDescent="0.4">
      <c r="A109" s="5">
        <f t="shared" ref="A109:D109" si="60">A75</f>
        <v>0</v>
      </c>
      <c r="B109" s="5">
        <f t="shared" si="60"/>
        <v>0</v>
      </c>
      <c r="C109" s="5">
        <f t="shared" si="60"/>
        <v>0</v>
      </c>
      <c r="D109" s="5">
        <f t="shared" si="60"/>
        <v>0</v>
      </c>
      <c r="E109" s="41">
        <f t="shared" si="12"/>
        <v>0</v>
      </c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</row>
    <row r="110" spans="1:24" ht="21" hidden="1" customHeight="1" outlineLevel="1" thickBot="1" x14ac:dyDescent="0.4">
      <c r="A110" s="5">
        <f t="shared" ref="A110:D110" si="61">A76</f>
        <v>0</v>
      </c>
      <c r="B110" s="5">
        <f t="shared" si="61"/>
        <v>0</v>
      </c>
      <c r="C110" s="5">
        <f t="shared" si="61"/>
        <v>0</v>
      </c>
      <c r="D110" s="5">
        <f t="shared" si="61"/>
        <v>0</v>
      </c>
      <c r="E110" s="41">
        <f t="shared" si="12"/>
        <v>0</v>
      </c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</row>
    <row r="111" spans="1:24" ht="21" hidden="1" customHeight="1" outlineLevel="1" thickBot="1" x14ac:dyDescent="0.4">
      <c r="A111" s="5">
        <f t="shared" ref="A111:D111" si="62">A77</f>
        <v>0</v>
      </c>
      <c r="B111" s="5">
        <f t="shared" si="62"/>
        <v>0</v>
      </c>
      <c r="C111" s="5">
        <f t="shared" si="62"/>
        <v>0</v>
      </c>
      <c r="D111" s="5">
        <f t="shared" si="62"/>
        <v>0</v>
      </c>
      <c r="E111" s="41">
        <f t="shared" si="12"/>
        <v>1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</row>
    <row r="112" spans="1:24" ht="21" hidden="1" customHeight="1" outlineLevel="1" x14ac:dyDescent="0.35"/>
    <row r="113" spans="1:69" ht="21" customHeight="1" collapsed="1" thickBot="1" x14ac:dyDescent="0.4"/>
    <row r="114" spans="1:69" ht="21" customHeight="1" thickTop="1" thickBot="1" x14ac:dyDescent="0.45">
      <c r="A114" s="59"/>
      <c r="B114" s="59"/>
      <c r="C114" s="59"/>
      <c r="D114" s="59"/>
      <c r="E114" s="61"/>
      <c r="F114" s="58" t="str">
        <f>ALL!F114</f>
        <v>Энергия гиббса фаз в данной системе. КДж</v>
      </c>
      <c r="G114" s="58"/>
      <c r="H114" s="58"/>
      <c r="I114" s="58"/>
      <c r="J114" s="58"/>
      <c r="K114" s="58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AX114" s="18"/>
      <c r="BQ114" s="18"/>
    </row>
    <row r="115" spans="1:69" ht="21" customHeight="1" outlineLevel="1" thickTop="1" thickBot="1" x14ac:dyDescent="0.4">
      <c r="D115" s="19" t="s">
        <v>15</v>
      </c>
      <c r="E115" s="19"/>
      <c r="F115" s="6">
        <f t="shared" ref="F115:X115" si="63">F3</f>
        <v>298.2</v>
      </c>
      <c r="G115" s="6">
        <f t="shared" si="63"/>
        <v>431.7</v>
      </c>
      <c r="H115" s="6">
        <f t="shared" si="63"/>
        <v>465.1</v>
      </c>
      <c r="I115" s="6">
        <f t="shared" si="63"/>
        <v>498.5</v>
      </c>
      <c r="J115" s="6">
        <f t="shared" si="63"/>
        <v>531.79999999999995</v>
      </c>
      <c r="K115" s="6">
        <f t="shared" si="63"/>
        <v>565.20000000000005</v>
      </c>
      <c r="L115" s="6">
        <f t="shared" si="63"/>
        <v>698.8</v>
      </c>
      <c r="M115" s="6">
        <f t="shared" si="63"/>
        <v>732.2</v>
      </c>
      <c r="N115" s="6">
        <f t="shared" si="63"/>
        <v>765.5</v>
      </c>
      <c r="O115" s="6">
        <f t="shared" si="63"/>
        <v>798.9</v>
      </c>
      <c r="P115" s="6">
        <f t="shared" si="63"/>
        <v>832.3</v>
      </c>
      <c r="Q115" s="6">
        <f t="shared" si="63"/>
        <v>965.8</v>
      </c>
      <c r="R115" s="6">
        <f t="shared" si="63"/>
        <v>999.2</v>
      </c>
      <c r="S115" s="6">
        <f t="shared" si="63"/>
        <v>1033</v>
      </c>
      <c r="T115" s="6">
        <f t="shared" si="63"/>
        <v>1066</v>
      </c>
      <c r="U115" s="6">
        <f t="shared" si="63"/>
        <v>1099</v>
      </c>
      <c r="V115" s="6">
        <f t="shared" si="63"/>
        <v>1233</v>
      </c>
      <c r="W115" s="6">
        <f t="shared" si="63"/>
        <v>1366</v>
      </c>
      <c r="X115" s="6">
        <f t="shared" si="63"/>
        <v>1500</v>
      </c>
    </row>
    <row r="116" spans="1:69" ht="21" customHeight="1" outlineLevel="1" thickTop="1" x14ac:dyDescent="0.35">
      <c r="E116" s="53" t="s">
        <v>50</v>
      </c>
      <c r="F116" s="46">
        <f t="shared" ref="F116:X116" si="64">F$115*$B$2*SUMPRODUCT(F$92:F$94,F$58:F$60)/1000</f>
        <v>-60.34572474210001</v>
      </c>
      <c r="G116" s="46">
        <f t="shared" si="64"/>
        <v>-120.41777178326494</v>
      </c>
      <c r="H116" s="46">
        <f t="shared" si="64"/>
        <v>-136.93468438201671</v>
      </c>
      <c r="I116" s="46">
        <f t="shared" si="64"/>
        <v>-153.64911057165588</v>
      </c>
      <c r="J116" s="46">
        <f t="shared" si="64"/>
        <v>-169.95523988903386</v>
      </c>
      <c r="K116" s="46">
        <f t="shared" si="64"/>
        <v>-184.71901989958698</v>
      </c>
      <c r="L116" s="46">
        <f t="shared" si="64"/>
        <v>-204.00506052011042</v>
      </c>
      <c r="M116" s="46">
        <f t="shared" si="64"/>
        <v>-205.13368370881298</v>
      </c>
      <c r="N116" s="46">
        <f t="shared" si="64"/>
        <v>-207.05595494185272</v>
      </c>
      <c r="O116" s="46">
        <f t="shared" si="64"/>
        <v>-208.79765702959429</v>
      </c>
      <c r="P116" s="46">
        <f t="shared" si="64"/>
        <v>-208.535629440767</v>
      </c>
      <c r="Q116" s="46">
        <f t="shared" si="64"/>
        <v>-161.02703822643409</v>
      </c>
      <c r="R116" s="46">
        <f t="shared" si="64"/>
        <v>-142.94150639238987</v>
      </c>
      <c r="S116" s="46">
        <f t="shared" si="64"/>
        <v>-126.7334933093542</v>
      </c>
      <c r="T116" s="46">
        <f t="shared" si="64"/>
        <v>-114.79157304561214</v>
      </c>
      <c r="U116" s="46">
        <f t="shared" si="64"/>
        <v>-106.20726785624076</v>
      </c>
      <c r="V116" s="46">
        <f t="shared" si="64"/>
        <v>-93.941861314135522</v>
      </c>
      <c r="W116" s="46">
        <f t="shared" si="64"/>
        <v>-97.429159832689763</v>
      </c>
      <c r="X116" s="46">
        <f t="shared" si="64"/>
        <v>-106.55745882405002</v>
      </c>
    </row>
    <row r="117" spans="1:69" ht="21" customHeight="1" outlineLevel="1" x14ac:dyDescent="0.35">
      <c r="E117" s="53" t="s">
        <v>47</v>
      </c>
      <c r="F117" s="46">
        <f t="shared" ref="F117:X117" si="65">F$115*$B$2*SUMPRODUCT(F$82:F$90,F$48:F$56)/1000</f>
        <v>-9.1411694747642525E-7</v>
      </c>
      <c r="G117" s="46">
        <f t="shared" si="65"/>
        <v>-2.8389525378194894E-2</v>
      </c>
      <c r="H117" s="46">
        <f t="shared" si="65"/>
        <v>-0.14226542592498001</v>
      </c>
      <c r="I117" s="46">
        <f t="shared" si="65"/>
        <v>-0.56581364302199189</v>
      </c>
      <c r="J117" s="46">
        <f t="shared" si="65"/>
        <v>-1.860475344740709</v>
      </c>
      <c r="K117" s="46">
        <f t="shared" si="65"/>
        <v>-5.1919401705931376</v>
      </c>
      <c r="L117" s="46">
        <f t="shared" si="65"/>
        <v>-63.492644131746765</v>
      </c>
      <c r="M117" s="46">
        <f t="shared" si="65"/>
        <v>-83.496072698726948</v>
      </c>
      <c r="N117" s="46">
        <f t="shared" si="65"/>
        <v>-103.27858556867463</v>
      </c>
      <c r="O117" s="46">
        <f t="shared" si="65"/>
        <v>-123.8032612636763</v>
      </c>
      <c r="P117" s="46">
        <f t="shared" si="65"/>
        <v>-146.77387316111256</v>
      </c>
      <c r="Q117" s="46">
        <f t="shared" si="65"/>
        <v>-290.53363652714012</v>
      </c>
      <c r="R117" s="46">
        <f t="shared" si="65"/>
        <v>-334.78702779858907</v>
      </c>
      <c r="S117" s="46">
        <f t="shared" si="65"/>
        <v>-378.07270316542338</v>
      </c>
      <c r="T117" s="46">
        <f t="shared" si="65"/>
        <v>-417.80290035550229</v>
      </c>
      <c r="U117" s="46">
        <f t="shared" si="65"/>
        <v>-454.99298083227058</v>
      </c>
      <c r="V117" s="46">
        <f t="shared" si="65"/>
        <v>-587.70450415226549</v>
      </c>
      <c r="W117" s="46">
        <f t="shared" si="65"/>
        <v>-708.48845310326317</v>
      </c>
      <c r="X117" s="46">
        <f t="shared" si="65"/>
        <v>-826.37200514366259</v>
      </c>
    </row>
    <row r="118" spans="1:69" ht="21" customHeight="1" outlineLevel="1" x14ac:dyDescent="0.35">
      <c r="E118" s="53" t="s">
        <v>46</v>
      </c>
      <c r="F118" s="46">
        <f t="shared" ref="F118:X118" si="66">F$115*$B$2*SUMPRODUCT(F$82:F$91,F$48:F$57)/1000</f>
        <v>-76.902224879116972</v>
      </c>
      <c r="G118" s="46">
        <f t="shared" si="66"/>
        <v>-112.25601391537823</v>
      </c>
      <c r="H118" s="46">
        <f t="shared" si="66"/>
        <v>-121.50393622342501</v>
      </c>
      <c r="I118" s="46">
        <f t="shared" si="66"/>
        <v>-131.12632851802204</v>
      </c>
      <c r="J118" s="46">
        <f t="shared" si="66"/>
        <v>-141.65834428974074</v>
      </c>
      <c r="K118" s="46">
        <f t="shared" si="66"/>
        <v>-154.47479671059315</v>
      </c>
      <c r="L118" s="46">
        <f t="shared" si="66"/>
        <v>-252.71059847174678</v>
      </c>
      <c r="M118" s="46">
        <f t="shared" si="66"/>
        <v>-282.87404117372699</v>
      </c>
      <c r="N118" s="46">
        <f t="shared" si="66"/>
        <v>-312.89101066867471</v>
      </c>
      <c r="O118" s="46">
        <f t="shared" si="66"/>
        <v>-343.55778275117638</v>
      </c>
      <c r="P118" s="46">
        <f t="shared" si="66"/>
        <v>-376.8691382986126</v>
      </c>
      <c r="Q118" s="46">
        <f t="shared" si="66"/>
        <v>-563.82620739714025</v>
      </c>
      <c r="R118" s="46">
        <f t="shared" si="66"/>
        <v>-619.19237135858918</v>
      </c>
      <c r="S118" s="46">
        <f t="shared" si="66"/>
        <v>-673.81641951542338</v>
      </c>
      <c r="T118" s="46">
        <f t="shared" si="66"/>
        <v>-724.47159255550241</v>
      </c>
      <c r="U118" s="46">
        <f t="shared" si="66"/>
        <v>-772.52581445727071</v>
      </c>
      <c r="V118" s="46">
        <f t="shared" si="66"/>
        <v>-948.56710735226557</v>
      </c>
      <c r="W118" s="46">
        <f t="shared" si="66"/>
        <v>-1112.4406754032634</v>
      </c>
      <c r="X118" s="46">
        <f t="shared" si="66"/>
        <v>-1273.8999676436629</v>
      </c>
    </row>
    <row r="119" spans="1:69" ht="21" customHeight="1" outlineLevel="1" x14ac:dyDescent="0.35">
      <c r="E119" s="55" t="s">
        <v>52</v>
      </c>
      <c r="F119" s="46">
        <f>F117+F116</f>
        <v>-60.345725656216956</v>
      </c>
      <c r="G119" s="46">
        <f t="shared" ref="G119:X119" si="67">G117+G116</f>
        <v>-120.44616130864313</v>
      </c>
      <c r="H119" s="46">
        <f t="shared" si="67"/>
        <v>-137.0769498079417</v>
      </c>
      <c r="I119" s="46">
        <f t="shared" si="67"/>
        <v>-154.21492421467786</v>
      </c>
      <c r="J119" s="46">
        <f t="shared" si="67"/>
        <v>-171.81571523377457</v>
      </c>
      <c r="K119" s="46">
        <f t="shared" si="67"/>
        <v>-189.91096007018012</v>
      </c>
      <c r="L119" s="46">
        <f t="shared" si="67"/>
        <v>-267.49770465185719</v>
      </c>
      <c r="M119" s="46">
        <f t="shared" si="67"/>
        <v>-288.62975640753996</v>
      </c>
      <c r="N119" s="46">
        <f t="shared" si="67"/>
        <v>-310.33454051052735</v>
      </c>
      <c r="O119" s="46">
        <f t="shared" si="67"/>
        <v>-332.60091829327058</v>
      </c>
      <c r="P119" s="46">
        <f t="shared" si="67"/>
        <v>-355.30950260187956</v>
      </c>
      <c r="Q119" s="46">
        <f t="shared" si="67"/>
        <v>-451.56067475357418</v>
      </c>
      <c r="R119" s="46">
        <f t="shared" si="67"/>
        <v>-477.72853419097896</v>
      </c>
      <c r="S119" s="46">
        <f t="shared" si="67"/>
        <v>-504.80619647477761</v>
      </c>
      <c r="T119" s="46">
        <f t="shared" si="67"/>
        <v>-532.59447340111444</v>
      </c>
      <c r="U119" s="46">
        <f t="shared" si="67"/>
        <v>-561.20024868851135</v>
      </c>
      <c r="V119" s="46">
        <f t="shared" si="67"/>
        <v>-681.64636546640099</v>
      </c>
      <c r="W119" s="46">
        <f t="shared" si="67"/>
        <v>-805.91761293595289</v>
      </c>
      <c r="X119" s="46">
        <f t="shared" si="67"/>
        <v>-932.92946396771265</v>
      </c>
    </row>
    <row r="120" spans="1:69" ht="21" customHeight="1" outlineLevel="1" x14ac:dyDescent="0.35">
      <c r="E120" s="53" t="s">
        <v>51</v>
      </c>
      <c r="F120" s="46">
        <f>F118+F116</f>
        <v>-137.24794962121697</v>
      </c>
      <c r="G120" s="46">
        <f t="shared" ref="G120:X120" si="68">G118+G116</f>
        <v>-232.67378569864317</v>
      </c>
      <c r="H120" s="46">
        <f t="shared" si="68"/>
        <v>-258.43862060544171</v>
      </c>
      <c r="I120" s="46">
        <f t="shared" si="68"/>
        <v>-284.77543908967789</v>
      </c>
      <c r="J120" s="46">
        <f t="shared" si="68"/>
        <v>-311.6135841787746</v>
      </c>
      <c r="K120" s="46">
        <f t="shared" si="68"/>
        <v>-339.19381661018014</v>
      </c>
      <c r="L120" s="46">
        <f t="shared" si="68"/>
        <v>-456.7156589918572</v>
      </c>
      <c r="M120" s="46">
        <f t="shared" si="68"/>
        <v>-488.00772488253995</v>
      </c>
      <c r="N120" s="46">
        <f t="shared" si="68"/>
        <v>-519.9469656105274</v>
      </c>
      <c r="O120" s="46">
        <f t="shared" si="68"/>
        <v>-552.35543978077067</v>
      </c>
      <c r="P120" s="46">
        <f t="shared" si="68"/>
        <v>-585.40476773937962</v>
      </c>
      <c r="Q120" s="46">
        <f t="shared" si="68"/>
        <v>-724.85324562357437</v>
      </c>
      <c r="R120" s="46">
        <f t="shared" si="68"/>
        <v>-762.13387775097908</v>
      </c>
      <c r="S120" s="46">
        <f t="shared" si="68"/>
        <v>-800.54991282477761</v>
      </c>
      <c r="T120" s="46">
        <f t="shared" si="68"/>
        <v>-839.26316560111457</v>
      </c>
      <c r="U120" s="46">
        <f t="shared" si="68"/>
        <v>-878.73308231351143</v>
      </c>
      <c r="V120" s="46">
        <f t="shared" si="68"/>
        <v>-1042.5089686664012</v>
      </c>
      <c r="W120" s="46">
        <f t="shared" si="68"/>
        <v>-1209.8698352359531</v>
      </c>
      <c r="X120" s="46">
        <f t="shared" si="68"/>
        <v>-1380.4574264677128</v>
      </c>
    </row>
    <row r="121" spans="1:69" ht="21" customHeight="1" outlineLevel="1" x14ac:dyDescent="0.35">
      <c r="E121" s="53" t="s">
        <v>65</v>
      </c>
      <c r="F121">
        <f>$A$2</f>
        <v>460</v>
      </c>
      <c r="G121">
        <v>-10000000</v>
      </c>
    </row>
    <row r="122" spans="1:69" ht="21" customHeight="1" outlineLevel="1" x14ac:dyDescent="0.35">
      <c r="F122">
        <f>$F$121</f>
        <v>460</v>
      </c>
      <c r="G122">
        <v>1000000</v>
      </c>
    </row>
    <row r="123" spans="1:69" ht="21" customHeight="1" outlineLevel="1" x14ac:dyDescent="0.35"/>
    <row r="124" spans="1:69" ht="21" customHeight="1" outlineLevel="1" x14ac:dyDescent="0.35"/>
    <row r="125" spans="1:69" ht="21" customHeight="1" outlineLevel="1" x14ac:dyDescent="0.35"/>
    <row r="126" spans="1:69" ht="21" customHeight="1" outlineLevel="1" x14ac:dyDescent="0.35"/>
    <row r="127" spans="1:69" ht="21" customHeight="1" outlineLevel="1" x14ac:dyDescent="0.35"/>
    <row r="128" spans="1:69" ht="21" customHeight="1" outlineLevel="1" x14ac:dyDescent="0.35"/>
    <row r="129" spans="1:19" ht="21" customHeight="1" outlineLevel="1" x14ac:dyDescent="0.35"/>
    <row r="130" spans="1:19" ht="21" customHeight="1" outlineLevel="1" x14ac:dyDescent="0.35"/>
    <row r="131" spans="1:19" ht="21" customHeight="1" outlineLevel="1" x14ac:dyDescent="0.35"/>
    <row r="132" spans="1:19" ht="21" customHeight="1" outlineLevel="1" x14ac:dyDescent="0.35"/>
    <row r="133" spans="1:19" ht="21" customHeight="1" outlineLevel="1" x14ac:dyDescent="0.35"/>
    <row r="134" spans="1:19" ht="21" customHeight="1" outlineLevel="1" x14ac:dyDescent="0.35"/>
    <row r="135" spans="1:19" ht="21" customHeight="1" outlineLevel="1" x14ac:dyDescent="0.35"/>
    <row r="136" spans="1:19" ht="21" customHeight="1" outlineLevel="1" x14ac:dyDescent="0.35"/>
    <row r="137" spans="1:19" ht="21" customHeight="1" outlineLevel="1" x14ac:dyDescent="0.35"/>
    <row r="138" spans="1:19" ht="21" customHeight="1" thickBot="1" x14ac:dyDescent="0.4"/>
    <row r="139" spans="1:19" ht="21" customHeight="1" thickBot="1" x14ac:dyDescent="0.45">
      <c r="A139" s="59"/>
      <c r="B139" s="59"/>
      <c r="C139" s="59"/>
      <c r="D139" s="59"/>
      <c r="E139" s="61"/>
      <c r="F139" s="58" t="s">
        <v>16</v>
      </c>
      <c r="G139" s="58"/>
      <c r="H139" s="58"/>
      <c r="I139" s="58"/>
      <c r="J139" s="58"/>
      <c r="K139" s="27"/>
      <c r="L139" s="27"/>
      <c r="M139" s="27"/>
      <c r="N139" s="27"/>
      <c r="O139" s="27"/>
      <c r="P139" s="27"/>
      <c r="Q139" s="27"/>
      <c r="R139" s="27"/>
      <c r="S139" s="28"/>
    </row>
    <row r="140" spans="1:19" ht="21" hidden="1" customHeight="1" outlineLevel="1" thickBot="1" x14ac:dyDescent="0.4">
      <c r="A140" s="26" t="s">
        <v>17</v>
      </c>
      <c r="B140" s="21" t="s">
        <v>18</v>
      </c>
      <c r="C140">
        <v>298.14999999999998</v>
      </c>
    </row>
    <row r="141" spans="1:19" ht="21" hidden="1" customHeight="1" outlineLevel="1" x14ac:dyDescent="0.35">
      <c r="A141">
        <v>8</v>
      </c>
      <c r="B141" s="20" t="s">
        <v>19</v>
      </c>
      <c r="C141">
        <v>5</v>
      </c>
    </row>
    <row r="142" spans="1:19" ht="21" hidden="1" customHeight="1" outlineLevel="1" x14ac:dyDescent="0.35">
      <c r="B142" s="22" t="s">
        <v>20</v>
      </c>
      <c r="C142" s="4">
        <f>C141-$C$141</f>
        <v>0</v>
      </c>
      <c r="D142" s="4">
        <f>D141-$C$141</f>
        <v>-5</v>
      </c>
      <c r="E142" s="4">
        <f t="shared" ref="E142:F142" si="69">E141-$C$141</f>
        <v>-5</v>
      </c>
      <c r="F142" s="4">
        <f t="shared" si="69"/>
        <v>-5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</row>
    <row r="143" spans="1:19" ht="21" hidden="1" customHeight="1" outlineLevel="1" thickBot="1" x14ac:dyDescent="0.4">
      <c r="B143" s="21" t="s">
        <v>21</v>
      </c>
      <c r="C143" s="4">
        <f>C142+$A$141</f>
        <v>8</v>
      </c>
      <c r="D143" s="4">
        <f t="shared" ref="D143:F143" si="70">D142+$A$141</f>
        <v>3</v>
      </c>
      <c r="E143" s="4">
        <f t="shared" si="70"/>
        <v>3</v>
      </c>
      <c r="F143" s="4">
        <f t="shared" si="70"/>
        <v>3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</row>
    <row r="144" spans="1:19" ht="21" hidden="1" customHeight="1" outlineLevel="1" x14ac:dyDescent="0.35"/>
    <row r="145" ht="21" customHeight="1" collapsed="1" x14ac:dyDescent="0.35"/>
  </sheetData>
  <mergeCells count="2">
    <mergeCell ref="A1:G1"/>
    <mergeCell ref="I1:S1"/>
  </mergeCells>
  <conditionalFormatting sqref="A4:D33">
    <cfRule type="cellIs" dxfId="9" priority="11" operator="equal">
      <formula>0</formula>
    </cfRule>
  </conditionalFormatting>
  <conditionalFormatting sqref="A48:D78">
    <cfRule type="cellIs" dxfId="8" priority="2" operator="equal">
      <formula>0</formula>
    </cfRule>
  </conditionalFormatting>
  <conditionalFormatting sqref="A82:D111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BQ131"/>
  <sheetViews>
    <sheetView zoomScale="85" zoomScaleNormal="85" workbookViewId="0">
      <selection activeCell="BA132" sqref="BA132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6" width="8.6328125" hidden="1" customWidth="1"/>
    <col min="27" max="27" width="8.6328125" customWidth="1"/>
    <col min="28" max="49" width="8.6328125" hidden="1" customWidth="1"/>
    <col min="50" max="50" width="4.6328125" customWidth="1"/>
    <col min="69" max="69" width="4.7265625" customWidth="1"/>
  </cols>
  <sheetData>
    <row r="1" spans="1:69" ht="87.95" customHeight="1" x14ac:dyDescent="0.35">
      <c r="A1" s="103" t="s">
        <v>53</v>
      </c>
      <c r="B1" s="103"/>
      <c r="C1" s="103"/>
      <c r="D1" s="103"/>
      <c r="E1" s="103"/>
      <c r="F1" s="103"/>
      <c r="G1" s="103"/>
      <c r="H1" s="103"/>
      <c r="I1" s="100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AX1" s="18"/>
      <c r="BQ1" s="40"/>
    </row>
    <row r="2" spans="1:69" ht="21" customHeight="1" x14ac:dyDescent="0.4">
      <c r="A2" s="80">
        <v>460</v>
      </c>
      <c r="B2" s="2">
        <v>8.3145000000000007</v>
      </c>
      <c r="C2" s="59"/>
      <c r="D2" s="59"/>
      <c r="E2" s="61"/>
      <c r="F2" s="58" t="str">
        <f>ALL!F2</f>
        <v>Первоначальные данные</v>
      </c>
      <c r="G2" s="57"/>
      <c r="H2" s="57"/>
      <c r="I2" s="57"/>
      <c r="J2" s="57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48"/>
      <c r="AE2" s="48"/>
      <c r="AF2" s="48"/>
      <c r="AG2" s="48"/>
      <c r="AH2" s="48"/>
      <c r="AI2" s="48"/>
      <c r="AJ2" s="48"/>
    </row>
    <row r="3" spans="1:69" ht="21" hidden="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6"/>
      <c r="F3" s="36">
        <v>298.2</v>
      </c>
      <c r="G3" s="36">
        <v>331.5</v>
      </c>
      <c r="H3" s="36">
        <v>364.9</v>
      </c>
      <c r="I3" s="36">
        <v>398.3</v>
      </c>
      <c r="J3" s="36">
        <v>431.7</v>
      </c>
      <c r="K3" s="36">
        <v>465.1</v>
      </c>
      <c r="L3" s="36">
        <v>498.5</v>
      </c>
      <c r="M3" s="36">
        <v>531.79999999999995</v>
      </c>
      <c r="N3" s="36">
        <v>565.20000000000005</v>
      </c>
      <c r="O3" s="36">
        <v>698.8</v>
      </c>
      <c r="P3" s="36">
        <v>832.3</v>
      </c>
      <c r="Q3" s="36">
        <v>965.8</v>
      </c>
      <c r="R3" s="36">
        <v>999.2</v>
      </c>
      <c r="S3" s="36">
        <v>1033</v>
      </c>
      <c r="T3" s="36">
        <v>1066</v>
      </c>
      <c r="U3" s="36">
        <v>1099</v>
      </c>
      <c r="V3" s="36">
        <v>1233</v>
      </c>
      <c r="W3" s="36">
        <v>1366</v>
      </c>
      <c r="X3" s="36">
        <v>1400</v>
      </c>
      <c r="Y3" s="36">
        <v>1433</v>
      </c>
      <c r="Z3" s="36">
        <v>1467</v>
      </c>
      <c r="AA3" s="36">
        <v>1500</v>
      </c>
      <c r="AB3" s="36"/>
      <c r="AC3" s="36"/>
      <c r="AD3" s="36"/>
      <c r="AE3" s="36"/>
      <c r="AF3" s="36"/>
      <c r="AG3" s="36"/>
      <c r="AH3" s="36"/>
      <c r="AI3" s="36"/>
      <c r="AJ3" s="36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</row>
    <row r="4" spans="1:69" ht="21" hidden="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41" t="s">
        <v>23</v>
      </c>
      <c r="F4" s="38">
        <v>0</v>
      </c>
      <c r="G4" s="38">
        <v>0</v>
      </c>
      <c r="H4" s="38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38">
        <v>5.4464E-24</v>
      </c>
      <c r="O4" s="38">
        <v>2.7126E-13</v>
      </c>
      <c r="P4" s="38">
        <v>4.3304999999999999E-11</v>
      </c>
      <c r="Q4" s="38">
        <v>1.4366E-9</v>
      </c>
      <c r="R4" s="38">
        <v>2.4853000000000001E-9</v>
      </c>
      <c r="S4" s="38">
        <v>4.4833E-9</v>
      </c>
      <c r="T4" s="38">
        <v>1.1865000000000001E-8</v>
      </c>
      <c r="U4" s="38">
        <v>2.9401E-8</v>
      </c>
      <c r="V4" s="38">
        <v>5.9993999999999999E-2</v>
      </c>
      <c r="W4" s="38">
        <v>0.06</v>
      </c>
      <c r="X4" s="38">
        <v>0.06</v>
      </c>
      <c r="Y4" s="38">
        <v>0.06</v>
      </c>
      <c r="Z4" s="38">
        <v>0.06</v>
      </c>
      <c r="AA4" s="38">
        <v>0.06</v>
      </c>
      <c r="AB4" s="38"/>
      <c r="AC4" s="38"/>
      <c r="AD4" s="38"/>
      <c r="AE4" s="38"/>
      <c r="AF4" s="38"/>
      <c r="AG4" s="38"/>
      <c r="AH4" s="38"/>
      <c r="AI4" s="38"/>
      <c r="AJ4" s="38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</row>
    <row r="5" spans="1:69" ht="21" hidden="1" customHeight="1" outlineLevel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41" t="s">
        <v>39</v>
      </c>
      <c r="F5" s="38">
        <v>0</v>
      </c>
      <c r="G5" s="38">
        <v>0</v>
      </c>
      <c r="H5" s="38">
        <v>0</v>
      </c>
      <c r="I5" s="38">
        <v>2.4355E-24</v>
      </c>
      <c r="J5" s="38">
        <v>9.869100000000001E-16</v>
      </c>
      <c r="K5" s="38">
        <v>1.9321999999999999E-11</v>
      </c>
      <c r="L5" s="38">
        <v>4.5759999999999999E-9</v>
      </c>
      <c r="M5" s="38">
        <v>0.06</v>
      </c>
      <c r="N5" s="38">
        <v>0.06</v>
      </c>
      <c r="O5" s="38">
        <v>0.06</v>
      </c>
      <c r="P5" s="38">
        <v>0.06</v>
      </c>
      <c r="Q5" s="38">
        <v>0.06</v>
      </c>
      <c r="R5" s="38">
        <v>0.06</v>
      </c>
      <c r="S5" s="38">
        <v>0.06</v>
      </c>
      <c r="T5" s="38">
        <v>0.06</v>
      </c>
      <c r="U5" s="38">
        <v>0.06</v>
      </c>
      <c r="V5" s="38">
        <v>5.8922000000000001E-6</v>
      </c>
      <c r="W5" s="38">
        <v>1.9743E-8</v>
      </c>
      <c r="X5" s="38">
        <v>1.4553E-8</v>
      </c>
      <c r="Y5" s="38">
        <v>8.2159000000000001E-9</v>
      </c>
      <c r="Z5" s="38">
        <v>7.8679999999999997E-9</v>
      </c>
      <c r="AA5" s="38">
        <v>6.0850000000000004E-9</v>
      </c>
      <c r="AB5" s="38"/>
      <c r="AC5" s="38"/>
      <c r="AD5" s="38"/>
      <c r="AE5" s="38"/>
      <c r="AF5" s="38"/>
      <c r="AG5" s="38"/>
      <c r="AH5" s="38"/>
      <c r="AI5" s="38"/>
      <c r="AJ5" s="38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</row>
    <row r="6" spans="1:69" ht="21" hidden="1" customHeight="1" outlineLevel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41" t="s">
        <v>68</v>
      </c>
      <c r="F6" s="38">
        <v>0.06</v>
      </c>
      <c r="G6" s="38">
        <v>0.06</v>
      </c>
      <c r="H6" s="38">
        <v>0.12</v>
      </c>
      <c r="I6" s="38">
        <v>0.12</v>
      </c>
      <c r="J6" s="38">
        <v>0.12</v>
      </c>
      <c r="K6" s="38">
        <v>0.12</v>
      </c>
      <c r="L6" s="38">
        <v>0.12</v>
      </c>
      <c r="M6" s="38">
        <v>8.4004999999999997E-9</v>
      </c>
      <c r="N6" s="38">
        <v>8.1328000000000001E-11</v>
      </c>
      <c r="O6" s="38">
        <v>7.2548999999999998E-26</v>
      </c>
      <c r="P6" s="38">
        <v>0</v>
      </c>
      <c r="Q6" s="38">
        <v>0</v>
      </c>
      <c r="R6" s="38">
        <v>0</v>
      </c>
      <c r="S6" s="38">
        <v>0</v>
      </c>
      <c r="T6" s="38">
        <v>0</v>
      </c>
      <c r="U6" s="38">
        <v>0</v>
      </c>
      <c r="V6" s="38">
        <v>0</v>
      </c>
      <c r="W6" s="38">
        <v>0</v>
      </c>
      <c r="X6" s="38">
        <v>0</v>
      </c>
      <c r="Y6" s="38">
        <v>0</v>
      </c>
      <c r="Z6" s="38">
        <v>0</v>
      </c>
      <c r="AA6" s="38">
        <v>0</v>
      </c>
      <c r="AB6" s="38"/>
      <c r="AC6" s="38"/>
      <c r="AD6" s="38"/>
      <c r="AE6" s="38"/>
      <c r="AF6" s="38"/>
      <c r="AG6" s="38"/>
      <c r="AH6" s="38"/>
      <c r="AI6" s="38"/>
      <c r="AJ6" s="38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</row>
    <row r="7" spans="1:69" ht="21" hidden="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41" t="s">
        <v>1</v>
      </c>
      <c r="F7" s="38">
        <v>0</v>
      </c>
      <c r="G7" s="38">
        <v>0</v>
      </c>
      <c r="H7" s="38">
        <v>0</v>
      </c>
      <c r="I7" s="38">
        <v>0</v>
      </c>
      <c r="J7" s="38">
        <v>0</v>
      </c>
      <c r="K7" s="38">
        <v>0</v>
      </c>
      <c r="L7" s="38">
        <v>0</v>
      </c>
      <c r="M7" s="38">
        <v>0.15512999999999999</v>
      </c>
      <c r="N7" s="38">
        <v>0.2</v>
      </c>
      <c r="O7" s="38">
        <v>0.2</v>
      </c>
      <c r="P7" s="38">
        <v>0.2</v>
      </c>
      <c r="Q7" s="38">
        <v>0.2</v>
      </c>
      <c r="R7" s="38">
        <v>0.2</v>
      </c>
      <c r="S7" s="38">
        <v>0.2</v>
      </c>
      <c r="T7" s="38">
        <v>0.2</v>
      </c>
      <c r="U7" s="38">
        <v>0.2</v>
      </c>
      <c r="V7" s="38">
        <v>0.2</v>
      </c>
      <c r="W7" s="38">
        <v>0.2</v>
      </c>
      <c r="X7" s="38">
        <v>0.2</v>
      </c>
      <c r="Y7" s="38">
        <v>0.2</v>
      </c>
      <c r="Z7" s="38">
        <v>0.2</v>
      </c>
      <c r="AA7" s="38">
        <v>0.2</v>
      </c>
      <c r="AB7" s="38"/>
      <c r="AC7" s="38"/>
      <c r="AD7" s="38"/>
      <c r="AE7" s="38"/>
      <c r="AF7" s="38"/>
      <c r="AG7" s="38"/>
      <c r="AH7" s="38"/>
      <c r="AI7" s="38"/>
      <c r="AJ7" s="38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</row>
    <row r="8" spans="1:69" ht="21" hidden="1" customHeight="1" outlineLevel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41" t="s">
        <v>22</v>
      </c>
      <c r="F8" s="38">
        <v>0</v>
      </c>
      <c r="G8" s="38">
        <v>0</v>
      </c>
      <c r="H8" s="38">
        <v>0</v>
      </c>
      <c r="I8" s="38">
        <v>2.4355E-24</v>
      </c>
      <c r="J8" s="38">
        <v>9.869100000000001E-16</v>
      </c>
      <c r="K8" s="38">
        <v>1.9321999999999999E-11</v>
      </c>
      <c r="L8" s="38">
        <v>4.5759999999999999E-9</v>
      </c>
      <c r="M8" s="38">
        <v>0.06</v>
      </c>
      <c r="N8" s="38">
        <v>0.06</v>
      </c>
      <c r="O8" s="38">
        <v>0.06</v>
      </c>
      <c r="P8" s="38">
        <v>0.06</v>
      </c>
      <c r="Q8" s="38">
        <v>0.06</v>
      </c>
      <c r="R8" s="38">
        <v>0.06</v>
      </c>
      <c r="S8" s="38">
        <v>0.06</v>
      </c>
      <c r="T8" s="38">
        <v>0.06</v>
      </c>
      <c r="U8" s="38">
        <v>0.06</v>
      </c>
      <c r="V8" s="38">
        <v>5.8922000000000001E-6</v>
      </c>
      <c r="W8" s="38">
        <v>1.9743E-8</v>
      </c>
      <c r="X8" s="38">
        <v>1.4553E-8</v>
      </c>
      <c r="Y8" s="38">
        <v>8.2159000000000001E-9</v>
      </c>
      <c r="Z8" s="38">
        <v>7.8679999999999997E-9</v>
      </c>
      <c r="AA8" s="38">
        <v>6.0850000000000004E-9</v>
      </c>
      <c r="AB8" s="38"/>
      <c r="AC8" s="38"/>
      <c r="AD8" s="38"/>
      <c r="AE8" s="38"/>
      <c r="AF8" s="38"/>
      <c r="AG8" s="38"/>
      <c r="AH8" s="38"/>
      <c r="AI8" s="38"/>
      <c r="AJ8" s="38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</row>
    <row r="9" spans="1:69" ht="21" hidden="1" customHeight="1" outlineLevel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41" t="s">
        <v>0</v>
      </c>
      <c r="F9" s="87">
        <v>8.7129E-15</v>
      </c>
      <c r="G9" s="87">
        <v>9.8545999999999994E-9</v>
      </c>
      <c r="H9" s="87">
        <v>0.06</v>
      </c>
      <c r="I9" s="87">
        <v>0.06</v>
      </c>
      <c r="J9" s="87">
        <v>0.06</v>
      </c>
      <c r="K9" s="87">
        <v>0.06</v>
      </c>
      <c r="L9" s="87">
        <v>0.06</v>
      </c>
      <c r="M9" s="87">
        <v>0.41270000000000001</v>
      </c>
      <c r="N9" s="87">
        <v>0.47999000000000003</v>
      </c>
      <c r="O9" s="87">
        <v>0.48</v>
      </c>
      <c r="P9" s="87">
        <v>0.48</v>
      </c>
      <c r="Q9" s="87">
        <v>0.48</v>
      </c>
      <c r="R9" s="87">
        <v>0.48</v>
      </c>
      <c r="S9" s="87">
        <v>0.48</v>
      </c>
      <c r="T9" s="87">
        <v>0.48</v>
      </c>
      <c r="U9" s="87">
        <v>0.48</v>
      </c>
      <c r="V9" s="87">
        <v>0.48</v>
      </c>
      <c r="W9" s="87">
        <v>0.48</v>
      </c>
      <c r="X9" s="87">
        <v>0.48</v>
      </c>
      <c r="Y9" s="87">
        <v>0.48</v>
      </c>
      <c r="Z9" s="87">
        <v>0.48</v>
      </c>
      <c r="AA9" s="87">
        <v>0.48</v>
      </c>
      <c r="AB9" s="75"/>
      <c r="AC9" s="75"/>
      <c r="AD9" s="75"/>
      <c r="AE9" s="75"/>
      <c r="AF9" s="75"/>
      <c r="AG9" s="75"/>
      <c r="AH9" s="75"/>
      <c r="AI9" s="75"/>
      <c r="AJ9" s="75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</row>
    <row r="10" spans="1:69" ht="21" hidden="1" customHeight="1" outlineLevel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41" t="s">
        <v>40</v>
      </c>
      <c r="F10" s="38">
        <v>0.06</v>
      </c>
      <c r="G10" s="38">
        <v>0.06</v>
      </c>
      <c r="H10" s="38">
        <v>3.7176000000000002E-10</v>
      </c>
      <c r="I10" s="38">
        <v>3.6682999999999996E-12</v>
      </c>
      <c r="J10" s="38">
        <v>2.1788000000000001E-17</v>
      </c>
      <c r="K10" s="38">
        <v>1.974E-29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/>
      <c r="AC10" s="38"/>
      <c r="AD10" s="38"/>
      <c r="AE10" s="38"/>
      <c r="AF10" s="38"/>
      <c r="AG10" s="38"/>
      <c r="AH10" s="38"/>
      <c r="AI10" s="38"/>
      <c r="AJ10" s="38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</row>
    <row r="11" spans="1:69" ht="21" hidden="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41" t="s">
        <v>74</v>
      </c>
      <c r="F11" s="38">
        <v>0.1</v>
      </c>
      <c r="G11" s="38">
        <v>0.1</v>
      </c>
      <c r="H11" s="38">
        <v>0.1</v>
      </c>
      <c r="I11" s="38">
        <v>0.1</v>
      </c>
      <c r="J11" s="38">
        <v>0.1</v>
      </c>
      <c r="K11" s="38">
        <v>0.1</v>
      </c>
      <c r="L11" s="38">
        <v>0.1</v>
      </c>
      <c r="M11" s="38">
        <v>2.2433000000000002E-2</v>
      </c>
      <c r="N11" s="38">
        <v>2.0362000000000001E-6</v>
      </c>
      <c r="O11" s="38">
        <v>7.7761000000000004E-20</v>
      </c>
      <c r="P11" s="38">
        <v>2.5107E-30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/>
      <c r="AC11" s="38"/>
      <c r="AD11" s="38"/>
      <c r="AE11" s="38"/>
      <c r="AF11" s="38"/>
      <c r="AG11" s="38"/>
      <c r="AH11" s="38"/>
      <c r="AI11" s="38"/>
      <c r="AJ11" s="38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</row>
    <row r="12" spans="1:69" ht="21" hidden="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0"/>
        <v>2</v>
      </c>
      <c r="D12" s="5">
        <f t="shared" si="0"/>
        <v>0</v>
      </c>
      <c r="E12" s="41" t="s">
        <v>34</v>
      </c>
      <c r="F12" s="38">
        <v>0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4.1590999999999998E-36</v>
      </c>
      <c r="O12" s="38">
        <v>1.3659000000000001E-27</v>
      </c>
      <c r="P12" s="38">
        <v>8.0203000000000004E-22</v>
      </c>
      <c r="Q12" s="38">
        <v>1.1604999999999999E-17</v>
      </c>
      <c r="R12" s="38">
        <v>8.4930999999999999E-17</v>
      </c>
      <c r="S12" s="38">
        <v>5.4554999999999996E-16</v>
      </c>
      <c r="T12" s="38">
        <v>3.1137999999999998E-15</v>
      </c>
      <c r="U12" s="38">
        <v>1.5962999999999998E-14</v>
      </c>
      <c r="V12" s="38">
        <v>3.9470999999999996E-12</v>
      </c>
      <c r="W12" s="38">
        <v>1.7847999999999999E-10</v>
      </c>
      <c r="X12" s="38">
        <v>4.1200000000000002E-10</v>
      </c>
      <c r="Y12" s="38">
        <v>9.1374999999999997E-10</v>
      </c>
      <c r="Z12" s="38">
        <v>1.9525E-9</v>
      </c>
      <c r="AA12" s="38">
        <v>4.0296000000000002E-9</v>
      </c>
      <c r="AB12" s="38"/>
      <c r="AC12" s="38"/>
      <c r="AD12" s="38"/>
      <c r="AE12" s="38"/>
      <c r="AF12" s="38"/>
      <c r="AG12" s="38"/>
      <c r="AH12" s="38"/>
      <c r="AI12" s="38"/>
      <c r="AJ12" s="38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</row>
    <row r="13" spans="1:69" ht="21" hidden="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41" t="s">
        <v>9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2.5350000000000001E-33</v>
      </c>
      <c r="M13" s="38">
        <v>1.0517999999999999E-30</v>
      </c>
      <c r="N13" s="38">
        <v>1.3863000000000001E-28</v>
      </c>
      <c r="O13" s="38">
        <v>5.5174000000000001E-22</v>
      </c>
      <c r="P13" s="38">
        <v>1.6886000000000001E-17</v>
      </c>
      <c r="Q13" s="38">
        <v>2.9747000000000003E-14</v>
      </c>
      <c r="R13" s="38">
        <v>1.4100000000000001E-13</v>
      </c>
      <c r="S13" s="38">
        <v>6.0427000000000001E-13</v>
      </c>
      <c r="T13" s="38">
        <v>2.3635000000000002E-12</v>
      </c>
      <c r="U13" s="38">
        <v>8.5073000000000003E-12</v>
      </c>
      <c r="V13" s="38">
        <v>6.6755000000000004E-10</v>
      </c>
      <c r="W13" s="38">
        <v>1.6446E-8</v>
      </c>
      <c r="X13" s="38">
        <v>3.3279000000000003E-8</v>
      </c>
      <c r="Y13" s="38">
        <v>6.5148999999999997E-8</v>
      </c>
      <c r="Z13" s="38">
        <v>1.2367E-7</v>
      </c>
      <c r="AA13" s="38">
        <v>2.2807999999999999E-7</v>
      </c>
      <c r="AB13" s="38"/>
      <c r="AC13" s="38"/>
      <c r="AD13" s="38"/>
      <c r="AE13" s="38"/>
      <c r="AF13" s="38"/>
      <c r="AG13" s="38"/>
      <c r="AH13" s="38"/>
      <c r="AI13" s="38"/>
      <c r="AJ13" s="38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</row>
    <row r="14" spans="1:69" ht="21" hidden="1" customHeight="1" outlineLevel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41" t="s">
        <v>2</v>
      </c>
      <c r="F14" s="38">
        <v>0.2</v>
      </c>
      <c r="G14" s="38">
        <v>0.2</v>
      </c>
      <c r="H14" s="38">
        <v>0.2</v>
      </c>
      <c r="I14" s="38">
        <v>0.2</v>
      </c>
      <c r="J14" s="38">
        <v>0.2</v>
      </c>
      <c r="K14" s="38">
        <v>0.2</v>
      </c>
      <c r="L14" s="38">
        <v>0.2</v>
      </c>
      <c r="M14" s="38">
        <v>0.2</v>
      </c>
      <c r="N14" s="38">
        <v>0.2</v>
      </c>
      <c r="O14" s="38">
        <v>0.2</v>
      </c>
      <c r="P14" s="38">
        <v>0.2</v>
      </c>
      <c r="Q14" s="38">
        <v>0.2</v>
      </c>
      <c r="R14" s="38">
        <v>0.2</v>
      </c>
      <c r="S14" s="38">
        <v>0.2</v>
      </c>
      <c r="T14" s="38">
        <v>0.2</v>
      </c>
      <c r="U14" s="38">
        <v>0.2</v>
      </c>
      <c r="V14" s="38">
        <v>0.2</v>
      </c>
      <c r="W14" s="38">
        <v>0.2</v>
      </c>
      <c r="X14" s="38">
        <v>0.2</v>
      </c>
      <c r="Y14" s="38">
        <v>0.2</v>
      </c>
      <c r="Z14" s="38">
        <v>0.2</v>
      </c>
      <c r="AA14" s="38">
        <v>0.2</v>
      </c>
      <c r="AB14" s="38"/>
      <c r="AC14" s="38"/>
      <c r="AD14" s="38"/>
      <c r="AE14" s="38"/>
      <c r="AF14" s="38"/>
      <c r="AG14" s="38"/>
      <c r="AH14" s="38"/>
      <c r="AI14" s="38"/>
      <c r="AJ14" s="38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</row>
    <row r="15" spans="1:69" ht="21" hidden="1" customHeight="1" outlineLevel="1" thickBot="1" x14ac:dyDescent="0.4">
      <c r="A15" s="5">
        <f t="shared" si="0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41" t="s">
        <v>24</v>
      </c>
      <c r="F15" s="38">
        <v>0</v>
      </c>
      <c r="G15" s="38">
        <v>0</v>
      </c>
      <c r="H15" s="38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2.0058000000000001E-22</v>
      </c>
      <c r="O15" s="38">
        <v>7.6130999999999995E-12</v>
      </c>
      <c r="P15" s="38">
        <v>5.2134000000000001E-11</v>
      </c>
      <c r="Q15" s="38">
        <v>1.4366E-9</v>
      </c>
      <c r="R15" s="38">
        <v>2.4853000000000001E-9</v>
      </c>
      <c r="S15" s="38">
        <v>4.4833E-9</v>
      </c>
      <c r="T15" s="38">
        <v>1.1865000000000001E-8</v>
      </c>
      <c r="U15" s="38">
        <v>2.9401E-8</v>
      </c>
      <c r="V15" s="38">
        <v>5.9993999999999999E-2</v>
      </c>
      <c r="W15" s="38">
        <v>0.06</v>
      </c>
      <c r="X15" s="38">
        <v>0.06</v>
      </c>
      <c r="Y15" s="38">
        <v>0.06</v>
      </c>
      <c r="Z15" s="38">
        <v>0.06</v>
      </c>
      <c r="AA15" s="38">
        <v>0.06</v>
      </c>
      <c r="AB15" s="38"/>
      <c r="AC15" s="38"/>
      <c r="AD15" s="38"/>
      <c r="AE15" s="38"/>
      <c r="AF15" s="38"/>
      <c r="AG15" s="38"/>
      <c r="AH15" s="38"/>
      <c r="AI15" s="38"/>
      <c r="AJ15" s="38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</row>
    <row r="16" spans="1:69" ht="21" hidden="1" customHeight="1" outlineLevel="1" thickBot="1" x14ac:dyDescent="0.4">
      <c r="A16" s="5">
        <f t="shared" si="0"/>
        <v>1</v>
      </c>
      <c r="B16" s="5">
        <f t="shared" si="0"/>
        <v>0</v>
      </c>
      <c r="C16" s="5">
        <f t="shared" si="0"/>
        <v>0</v>
      </c>
      <c r="D16" s="5">
        <f t="shared" si="0"/>
        <v>0</v>
      </c>
      <c r="E16" s="41" t="s">
        <v>69</v>
      </c>
      <c r="F16" s="38">
        <v>-19.02</v>
      </c>
      <c r="G16" s="38">
        <v>-19.03</v>
      </c>
      <c r="H16" s="38">
        <v>-19.059999999999999</v>
      </c>
      <c r="I16" s="38">
        <v>-19.11</v>
      </c>
      <c r="J16" s="38">
        <v>-19.170000000000002</v>
      </c>
      <c r="K16" s="38">
        <v>-19.23</v>
      </c>
      <c r="L16" s="38">
        <v>-19.3</v>
      </c>
      <c r="M16" s="38">
        <v>-19.07</v>
      </c>
      <c r="N16" s="38">
        <v>-19.03</v>
      </c>
      <c r="O16" s="38">
        <v>-19.309999999999999</v>
      </c>
      <c r="P16" s="38">
        <v>-19.57</v>
      </c>
      <c r="Q16" s="38">
        <v>-19.82</v>
      </c>
      <c r="R16" s="38">
        <v>-19.88</v>
      </c>
      <c r="S16" s="38">
        <v>-19.940000000000001</v>
      </c>
      <c r="T16" s="38">
        <v>-20</v>
      </c>
      <c r="U16" s="38">
        <v>-20.05</v>
      </c>
      <c r="V16" s="38">
        <v>-20.260000000000002</v>
      </c>
      <c r="W16" s="38">
        <v>-20.46</v>
      </c>
      <c r="X16" s="38">
        <v>-20.51</v>
      </c>
      <c r="Y16" s="38">
        <v>-20.56</v>
      </c>
      <c r="Z16" s="38">
        <v>-20.6</v>
      </c>
      <c r="AA16" s="38">
        <v>-20.65</v>
      </c>
      <c r="AB16" s="38"/>
      <c r="AC16" s="38"/>
      <c r="AD16" s="38"/>
      <c r="AE16" s="38"/>
      <c r="AF16" s="38"/>
      <c r="AG16" s="38"/>
      <c r="AH16" s="38"/>
      <c r="AI16" s="38"/>
      <c r="AJ16" s="38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</row>
    <row r="17" spans="1:49" ht="21" hidden="1" customHeight="1" outlineLevel="1" thickBot="1" x14ac:dyDescent="0.4">
      <c r="A17" s="5">
        <f t="shared" si="0"/>
        <v>0</v>
      </c>
      <c r="B17" s="5">
        <f t="shared" si="0"/>
        <v>0</v>
      </c>
      <c r="C17" s="5">
        <f t="shared" si="0"/>
        <v>0</v>
      </c>
      <c r="D17" s="5">
        <f t="shared" si="0"/>
        <v>1</v>
      </c>
      <c r="E17" s="41" t="s">
        <v>70</v>
      </c>
      <c r="F17" s="38">
        <v>-60.99</v>
      </c>
      <c r="G17" s="38">
        <v>-55.39</v>
      </c>
      <c r="H17" s="38">
        <v>-48.92</v>
      </c>
      <c r="I17" s="38">
        <v>-42.66</v>
      </c>
      <c r="J17" s="38">
        <v>-37.28</v>
      </c>
      <c r="K17" s="38">
        <v>-32.6</v>
      </c>
      <c r="L17" s="38">
        <v>-28.48</v>
      </c>
      <c r="M17" s="38">
        <v>-25.41</v>
      </c>
      <c r="N17" s="38">
        <v>-26.73</v>
      </c>
      <c r="O17" s="38">
        <v>-31.78</v>
      </c>
      <c r="P17" s="38">
        <v>-36.28</v>
      </c>
      <c r="Q17" s="38">
        <v>-40.049999999999997</v>
      </c>
      <c r="R17" s="38">
        <v>-40.86</v>
      </c>
      <c r="S17" s="38">
        <v>-41.61</v>
      </c>
      <c r="T17" s="38">
        <v>-42.31</v>
      </c>
      <c r="U17" s="38">
        <v>-42.94</v>
      </c>
      <c r="V17" s="38">
        <v>-44.86</v>
      </c>
      <c r="W17" s="38">
        <v>-45.72</v>
      </c>
      <c r="X17" s="38">
        <v>-45.76</v>
      </c>
      <c r="Y17" s="38">
        <v>-45.74</v>
      </c>
      <c r="Z17" s="38">
        <v>-45.64</v>
      </c>
      <c r="AA17" s="38">
        <v>-45.47</v>
      </c>
      <c r="AB17" s="38"/>
      <c r="AC17" s="38"/>
      <c r="AD17" s="38"/>
      <c r="AE17" s="38"/>
      <c r="AF17" s="38"/>
      <c r="AG17" s="38"/>
      <c r="AH17" s="38"/>
      <c r="AI17" s="38"/>
      <c r="AJ17" s="38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</row>
    <row r="18" spans="1:49" ht="21" hidden="1" customHeight="1" outlineLevel="1" thickBot="1" x14ac:dyDescent="0.4">
      <c r="A18" s="5">
        <f t="shared" si="0"/>
        <v>0</v>
      </c>
      <c r="B18" s="5">
        <f t="shared" si="0"/>
        <v>0</v>
      </c>
      <c r="C18" s="5">
        <f t="shared" si="0"/>
        <v>1</v>
      </c>
      <c r="D18" s="5">
        <f t="shared" si="0"/>
        <v>0</v>
      </c>
      <c r="E18" s="41" t="s">
        <v>71</v>
      </c>
      <c r="F18" s="38">
        <v>-15.35</v>
      </c>
      <c r="G18" s="38">
        <v>-14.36</v>
      </c>
      <c r="H18" s="38">
        <v>-12.3</v>
      </c>
      <c r="I18" s="38">
        <v>-10.01</v>
      </c>
      <c r="J18" s="38">
        <v>-8.0210000000000008</v>
      </c>
      <c r="K18" s="38">
        <v>-6.28</v>
      </c>
      <c r="L18" s="38">
        <v>-4.7359999999999998</v>
      </c>
      <c r="M18" s="38">
        <v>-4.141</v>
      </c>
      <c r="N18" s="38">
        <v>-4.2229999999999999</v>
      </c>
      <c r="O18" s="38">
        <v>-4.5529999999999999</v>
      </c>
      <c r="P18" s="38">
        <v>-4.8730000000000002</v>
      </c>
      <c r="Q18" s="38">
        <v>-5.1749999999999998</v>
      </c>
      <c r="R18" s="38">
        <v>-5.2469999999999999</v>
      </c>
      <c r="S18" s="38">
        <v>-5.3179999999999996</v>
      </c>
      <c r="T18" s="38">
        <v>-5.3890000000000002</v>
      </c>
      <c r="U18" s="38">
        <v>-5.4580000000000002</v>
      </c>
      <c r="V18" s="38">
        <v>-5.7869999999999999</v>
      </c>
      <c r="W18" s="38">
        <v>-6.3879999999999999</v>
      </c>
      <c r="X18" s="38">
        <v>-6.5250000000000004</v>
      </c>
      <c r="Y18" s="38">
        <v>-6.6580000000000004</v>
      </c>
      <c r="Z18" s="38">
        <v>-6.7869999999999999</v>
      </c>
      <c r="AA18" s="38">
        <v>-6.9109999999999996</v>
      </c>
      <c r="AB18" s="38"/>
      <c r="AC18" s="38"/>
      <c r="AD18" s="38"/>
      <c r="AE18" s="38"/>
      <c r="AF18" s="38"/>
      <c r="AG18" s="38"/>
      <c r="AH18" s="38"/>
      <c r="AI18" s="38"/>
      <c r="AJ18" s="38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</row>
    <row r="19" spans="1:49" ht="21" hidden="1" customHeight="1" outlineLevel="1" thickBot="1" x14ac:dyDescent="0.4">
      <c r="A19" s="5">
        <f t="shared" si="0"/>
        <v>0</v>
      </c>
      <c r="B19" s="5">
        <f t="shared" si="0"/>
        <v>1</v>
      </c>
      <c r="C19" s="5">
        <f t="shared" si="0"/>
        <v>0</v>
      </c>
      <c r="D19" s="5">
        <f t="shared" si="0"/>
        <v>0</v>
      </c>
      <c r="E19" s="41" t="s">
        <v>72</v>
      </c>
      <c r="F19" s="38">
        <v>-21.89</v>
      </c>
      <c r="G19" s="38">
        <v>-20.11</v>
      </c>
      <c r="H19" s="38">
        <v>-19.97</v>
      </c>
      <c r="I19" s="38">
        <v>-20.47</v>
      </c>
      <c r="J19" s="38">
        <v>-20.98</v>
      </c>
      <c r="K19" s="38">
        <v>-21.49</v>
      </c>
      <c r="L19" s="38">
        <v>-22.01</v>
      </c>
      <c r="M19" s="38">
        <v>-22.51</v>
      </c>
      <c r="N19" s="38">
        <v>-23.02</v>
      </c>
      <c r="O19" s="38">
        <v>-24.96</v>
      </c>
      <c r="P19" s="38">
        <v>-26.77</v>
      </c>
      <c r="Q19" s="38">
        <v>-28.49</v>
      </c>
      <c r="R19" s="38">
        <v>-28.9</v>
      </c>
      <c r="S19" s="38">
        <v>-29.31</v>
      </c>
      <c r="T19" s="38">
        <v>-29.72</v>
      </c>
      <c r="U19" s="38">
        <v>-30.12</v>
      </c>
      <c r="V19" s="38">
        <v>-31.69</v>
      </c>
      <c r="W19" s="38">
        <v>-33.22</v>
      </c>
      <c r="X19" s="38">
        <v>-33.590000000000003</v>
      </c>
      <c r="Y19" s="38">
        <v>-33.97</v>
      </c>
      <c r="Z19" s="38">
        <v>-34.340000000000003</v>
      </c>
      <c r="AA19" s="38">
        <v>-34.71</v>
      </c>
      <c r="AB19" s="38"/>
      <c r="AC19" s="38"/>
      <c r="AD19" s="38"/>
      <c r="AE19" s="38"/>
      <c r="AF19" s="38"/>
      <c r="AG19" s="38"/>
      <c r="AH19" s="38"/>
      <c r="AI19" s="38"/>
      <c r="AJ19" s="38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</row>
    <row r="20" spans="1:49" ht="21" hidden="1" customHeight="1" outlineLevel="1" thickBot="1" x14ac:dyDescent="0.4">
      <c r="A20" s="5">
        <f t="shared" si="0"/>
        <v>0</v>
      </c>
      <c r="B20" s="5">
        <f t="shared" si="0"/>
        <v>0</v>
      </c>
      <c r="C20" s="5">
        <f t="shared" si="0"/>
        <v>0</v>
      </c>
      <c r="D20" s="5">
        <f t="shared" si="0"/>
        <v>0</v>
      </c>
      <c r="E20" s="41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</row>
    <row r="21" spans="1:49" ht="21" hidden="1" customHeight="1" outlineLevel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41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</row>
    <row r="22" spans="1:49" ht="21" hidden="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41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</row>
    <row r="23" spans="1:49" ht="21" hidden="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41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</row>
    <row r="24" spans="1:49" ht="21" hidden="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41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</row>
    <row r="25" spans="1:49" ht="21" hidden="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41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83"/>
      <c r="AB25" s="37"/>
      <c r="AC25" s="37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</row>
    <row r="26" spans="1:49" ht="21" hidden="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41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</row>
    <row r="27" spans="1:49" ht="21" hidden="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41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</row>
    <row r="28" spans="1:49" ht="21" hidden="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41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</row>
    <row r="29" spans="1:49" ht="21" hidden="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41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</row>
    <row r="30" spans="1:49" ht="21" hidden="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41"/>
    </row>
    <row r="31" spans="1:49" ht="21" hidden="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41"/>
    </row>
    <row r="32" spans="1:49" ht="21" hidden="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41"/>
    </row>
    <row r="33" spans="1:64" ht="21" hidden="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41">
        <v>1</v>
      </c>
    </row>
    <row r="34" spans="1:64" ht="21" hidden="1" customHeight="1" outlineLevel="1" x14ac:dyDescent="0.35">
      <c r="E34">
        <f>$A$2</f>
        <v>460</v>
      </c>
      <c r="F34" s="51">
        <f>MIN(F4:AX17)</f>
        <v>-60.99</v>
      </c>
    </row>
    <row r="35" spans="1:64" ht="21" customHeight="1" collapsed="1" thickBot="1" x14ac:dyDescent="0.4">
      <c r="E35">
        <f>$A$2</f>
        <v>460</v>
      </c>
      <c r="F35" s="51">
        <f>MAX(F4:AJ17)+1</f>
        <v>1.48</v>
      </c>
    </row>
    <row r="36" spans="1:64" ht="21" customHeight="1" thickTop="1" thickBot="1" x14ac:dyDescent="0.45">
      <c r="A36" s="10" t="s">
        <v>12</v>
      </c>
      <c r="B36" s="11"/>
      <c r="C36" s="11"/>
      <c r="D36" s="14"/>
      <c r="E36" s="15"/>
      <c r="F36" s="58" t="str">
        <f>ALL!F36</f>
        <v>Общая энергия гиббса смесей, КДж</v>
      </c>
      <c r="G36" s="58"/>
      <c r="H36" s="58"/>
      <c r="I36" s="58"/>
      <c r="J36" s="58"/>
      <c r="K36" s="58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</row>
    <row r="37" spans="1:64" ht="21" hidden="1" customHeight="1" outlineLevel="1" thickTop="1" thickBot="1" x14ac:dyDescent="0.4">
      <c r="A37" s="16" t="s">
        <v>2</v>
      </c>
      <c r="B37" s="16" t="s">
        <v>9</v>
      </c>
      <c r="C37" s="16" t="s">
        <v>10</v>
      </c>
      <c r="D37" s="16" t="s">
        <v>8</v>
      </c>
      <c r="E37" s="16" t="s">
        <v>14</v>
      </c>
      <c r="F37" s="6">
        <f t="shared" ref="F37:AA37" si="1">F3</f>
        <v>298.2</v>
      </c>
      <c r="G37" s="6">
        <f t="shared" si="1"/>
        <v>331.5</v>
      </c>
      <c r="H37" s="6">
        <f t="shared" si="1"/>
        <v>364.9</v>
      </c>
      <c r="I37" s="6">
        <f t="shared" si="1"/>
        <v>398.3</v>
      </c>
      <c r="J37" s="6">
        <f t="shared" si="1"/>
        <v>431.7</v>
      </c>
      <c r="K37" s="6">
        <f t="shared" si="1"/>
        <v>465.1</v>
      </c>
      <c r="L37" s="6">
        <f t="shared" si="1"/>
        <v>498.5</v>
      </c>
      <c r="M37" s="6">
        <f t="shared" si="1"/>
        <v>531.79999999999995</v>
      </c>
      <c r="N37" s="6">
        <f t="shared" si="1"/>
        <v>565.20000000000005</v>
      </c>
      <c r="O37" s="6">
        <f t="shared" si="1"/>
        <v>698.8</v>
      </c>
      <c r="P37" s="6">
        <f t="shared" si="1"/>
        <v>832.3</v>
      </c>
      <c r="Q37" s="6">
        <f t="shared" si="1"/>
        <v>965.8</v>
      </c>
      <c r="R37" s="6">
        <f t="shared" si="1"/>
        <v>999.2</v>
      </c>
      <c r="S37" s="6">
        <f t="shared" si="1"/>
        <v>1033</v>
      </c>
      <c r="T37" s="6">
        <f t="shared" si="1"/>
        <v>1066</v>
      </c>
      <c r="U37" s="6">
        <f t="shared" si="1"/>
        <v>1099</v>
      </c>
      <c r="V37" s="6">
        <f t="shared" si="1"/>
        <v>1233</v>
      </c>
      <c r="W37" s="6">
        <f t="shared" si="1"/>
        <v>1366</v>
      </c>
      <c r="X37" s="6">
        <f t="shared" si="1"/>
        <v>1400</v>
      </c>
      <c r="Y37" s="6">
        <f t="shared" si="1"/>
        <v>1433</v>
      </c>
      <c r="Z37" s="6">
        <f t="shared" si="1"/>
        <v>1467</v>
      </c>
      <c r="AA37" s="6">
        <f t="shared" si="1"/>
        <v>1500</v>
      </c>
      <c r="AB37" s="6"/>
      <c r="AC37" s="6"/>
      <c r="AD37" s="6"/>
      <c r="AE37" s="6"/>
      <c r="AF37" s="6"/>
      <c r="AG37" s="6"/>
      <c r="AH37" s="6"/>
      <c r="AI37" s="6"/>
      <c r="AJ37" s="6"/>
    </row>
    <row r="38" spans="1:64" ht="21" hidden="1" customHeight="1" outlineLevel="1" thickTop="1" x14ac:dyDescent="0.35">
      <c r="A38" s="17">
        <f>A43/$B43</f>
        <v>1.6666666666666667</v>
      </c>
      <c r="B38" s="17">
        <f>B43/$B43</f>
        <v>1</v>
      </c>
      <c r="C38" s="17">
        <f>C43/$B43</f>
        <v>1.6666666666666667</v>
      </c>
      <c r="D38" s="17">
        <f>D43/$B43</f>
        <v>4</v>
      </c>
      <c r="E38" s="17">
        <f>SUM(A38:D38)</f>
        <v>8.3333333333333339</v>
      </c>
      <c r="F38" s="107">
        <f>($B$38*F$18+$C$38*F$17+$D$38*F$19)*F$37*$B$2/1000</f>
        <v>-507.18277058400002</v>
      </c>
      <c r="G38" s="107">
        <f t="shared" ref="G38:AA38" si="2">($B$38*G$18+$C$38*G$17+$D$38*G$19)*G$37*$B$2/1000</f>
        <v>-515.74157553750013</v>
      </c>
      <c r="H38" s="107">
        <f t="shared" si="2"/>
        <v>-527.03948719900006</v>
      </c>
      <c r="I38" s="107">
        <f t="shared" si="2"/>
        <v>-539.76833539650011</v>
      </c>
      <c r="J38" s="107">
        <f t="shared" si="2"/>
        <v>-553.02973591065006</v>
      </c>
      <c r="K38" s="107">
        <f t="shared" si="2"/>
        <v>-566.80991909800002</v>
      </c>
      <c r="L38" s="107">
        <f t="shared" si="2"/>
        <v>-581.27475452200008</v>
      </c>
      <c r="M38" s="107">
        <f t="shared" si="2"/>
        <v>-603.69244633409994</v>
      </c>
      <c r="N38" s="107">
        <f t="shared" si="2"/>
        <v>-661.91830615620017</v>
      </c>
      <c r="O38" s="107">
        <f t="shared" si="2"/>
        <v>-914.28682361179995</v>
      </c>
      <c r="P38" s="107">
        <f t="shared" si="2"/>
        <v>-1193.1713959875501</v>
      </c>
      <c r="Q38" s="107">
        <f t="shared" si="2"/>
        <v>-1492.6833360285</v>
      </c>
      <c r="R38" s="107">
        <f t="shared" si="2"/>
        <v>-1569.7430316348004</v>
      </c>
      <c r="S38" s="107">
        <f t="shared" si="2"/>
        <v>-1648.2744951780003</v>
      </c>
      <c r="T38" s="107">
        <f t="shared" si="2"/>
        <v>-1726.4354235829999</v>
      </c>
      <c r="U38" s="107">
        <f t="shared" si="2"/>
        <v>-1804.7256535490001</v>
      </c>
      <c r="V38" s="107">
        <f t="shared" si="2"/>
        <v>-2125.3337906895003</v>
      </c>
      <c r="W38" s="107">
        <f t="shared" si="2"/>
        <v>-2447.2008650760004</v>
      </c>
      <c r="X38" s="107">
        <f t="shared" si="2"/>
        <v>-2527.7105455000005</v>
      </c>
      <c r="Y38" s="107">
        <f t="shared" si="2"/>
        <v>-2606.5901016830003</v>
      </c>
      <c r="Z38" s="107">
        <f t="shared" si="2"/>
        <v>-2686.0279017105008</v>
      </c>
      <c r="AA38" s="107">
        <f t="shared" si="2"/>
        <v>-2762.92082175</v>
      </c>
      <c r="AB38" s="4"/>
      <c r="AC38" s="4"/>
      <c r="AD38" s="4"/>
      <c r="AE38" s="4"/>
      <c r="AF38" s="4"/>
      <c r="AG38" s="4"/>
      <c r="AH38" s="4"/>
      <c r="AI38" s="4"/>
      <c r="AJ38" s="4"/>
    </row>
    <row r="39" spans="1:64" ht="21" hidden="1" customHeight="1" outlineLevel="1" x14ac:dyDescent="0.35"/>
    <row r="40" spans="1:64" ht="21" hidden="1" customHeight="1" outlineLevel="1" x14ac:dyDescent="0.35"/>
    <row r="41" spans="1:64" ht="21" hidden="1" customHeight="1" outlineLevel="1" thickBot="1" x14ac:dyDescent="0.4">
      <c r="A41" s="14" t="s">
        <v>13</v>
      </c>
      <c r="B41" s="14"/>
      <c r="C41" s="14"/>
      <c r="D41" s="14"/>
    </row>
    <row r="42" spans="1:64" ht="21" hidden="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64" ht="21" hidden="1" customHeight="1" outlineLevel="1" thickTop="1" x14ac:dyDescent="0.35">
      <c r="A43" s="108">
        <v>0.25</v>
      </c>
      <c r="B43" s="108">
        <v>0.15</v>
      </c>
      <c r="C43" s="108">
        <v>0.25</v>
      </c>
      <c r="D43" s="108">
        <v>0.6</v>
      </c>
      <c r="W43" s="1"/>
    </row>
    <row r="44" spans="1:64" ht="21" hidden="1" customHeight="1" outlineLevel="1" x14ac:dyDescent="0.35"/>
    <row r="45" spans="1:64" ht="21" customHeight="1" collapsed="1" thickTop="1" thickBot="1" x14ac:dyDescent="0.4"/>
    <row r="46" spans="1:64" ht="21" customHeight="1" thickBot="1" x14ac:dyDescent="0.45">
      <c r="A46" s="59"/>
      <c r="B46" s="59"/>
      <c r="C46" s="59"/>
      <c r="D46" s="59"/>
      <c r="E46" s="61"/>
      <c r="F46" s="58" t="str">
        <f>ALL!F46</f>
        <v>Удельная энергия Гиббса отдельных веществ из потенциалов. Дж</v>
      </c>
      <c r="G46" s="58"/>
      <c r="H46" s="58"/>
      <c r="I46" s="58"/>
      <c r="J46" s="58"/>
      <c r="K46" s="58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</row>
    <row r="47" spans="1:64" ht="21" hidden="1" customHeight="1" outlineLevel="1" thickTop="1" thickBot="1" x14ac:dyDescent="0.4">
      <c r="A47" s="23" t="s">
        <v>2</v>
      </c>
      <c r="B47" s="23" t="s">
        <v>8</v>
      </c>
      <c r="C47" s="23" t="s">
        <v>9</v>
      </c>
      <c r="D47" s="24" t="s">
        <v>10</v>
      </c>
      <c r="E47" s="36">
        <f>E3</f>
        <v>0</v>
      </c>
      <c r="F47" s="36">
        <f>F3</f>
        <v>298.2</v>
      </c>
      <c r="G47" s="36">
        <f>G3</f>
        <v>331.5</v>
      </c>
      <c r="H47" s="36">
        <f>H3</f>
        <v>364.9</v>
      </c>
      <c r="I47" s="36">
        <f>I3</f>
        <v>398.3</v>
      </c>
      <c r="J47" s="36">
        <f>J3</f>
        <v>431.7</v>
      </c>
      <c r="K47" s="36">
        <f>K3</f>
        <v>465.1</v>
      </c>
      <c r="L47" s="36">
        <f>L3</f>
        <v>498.5</v>
      </c>
      <c r="M47" s="36">
        <f>M3</f>
        <v>531.79999999999995</v>
      </c>
      <c r="N47" s="36">
        <f>N3</f>
        <v>565.20000000000005</v>
      </c>
      <c r="O47" s="36">
        <f>O3</f>
        <v>698.8</v>
      </c>
      <c r="P47" s="36">
        <f>P3</f>
        <v>832.3</v>
      </c>
      <c r="Q47" s="36">
        <f>Q3</f>
        <v>965.8</v>
      </c>
      <c r="R47" s="36">
        <f>R3</f>
        <v>999.2</v>
      </c>
      <c r="S47" s="36">
        <f>S3</f>
        <v>1033</v>
      </c>
      <c r="T47" s="36">
        <f>T3</f>
        <v>1066</v>
      </c>
      <c r="U47" s="36">
        <f>U3</f>
        <v>1099</v>
      </c>
      <c r="V47" s="36">
        <f>V3</f>
        <v>1233</v>
      </c>
      <c r="W47" s="36">
        <f>W3</f>
        <v>1366</v>
      </c>
      <c r="X47" s="36">
        <f>X3</f>
        <v>1400</v>
      </c>
      <c r="Y47" s="36">
        <f>Y3</f>
        <v>1433</v>
      </c>
      <c r="Z47" s="36">
        <f>Z3</f>
        <v>1467</v>
      </c>
      <c r="AA47" s="36">
        <f>AA3</f>
        <v>1500</v>
      </c>
      <c r="AB47" s="36"/>
      <c r="AC47" s="36"/>
      <c r="AD47" s="36"/>
      <c r="AE47" s="36"/>
      <c r="AF47" s="36"/>
      <c r="AG47" s="36"/>
      <c r="AH47" s="36"/>
      <c r="AI47" s="36"/>
      <c r="AJ47" s="36"/>
    </row>
    <row r="48" spans="1:64" ht="21" hidden="1" customHeight="1" outlineLevel="1" thickTop="1" thickBot="1" x14ac:dyDescent="0.4">
      <c r="A48" s="5">
        <f>A4</f>
        <v>0</v>
      </c>
      <c r="B48" s="5">
        <f>B4</f>
        <v>0</v>
      </c>
      <c r="C48" s="5">
        <f>C4</f>
        <v>1</v>
      </c>
      <c r="D48" s="5">
        <f>D4</f>
        <v>0</v>
      </c>
      <c r="E48" s="41" t="str">
        <f>E4</f>
        <v>*Ge[l]</v>
      </c>
      <c r="F48" s="46">
        <f>$A48*F$16 + $B48*F$19 + $C48*F$18 + $D48*F$17</f>
        <v>-15.35</v>
      </c>
      <c r="G48" s="46">
        <f t="shared" ref="G48:AA62" si="3">$A48*G$16 + $B48*G$19 + $C48*G$18 + $D48*G$17</f>
        <v>-14.36</v>
      </c>
      <c r="H48" s="46">
        <f t="shared" si="3"/>
        <v>-12.3</v>
      </c>
      <c r="I48" s="46">
        <f t="shared" si="3"/>
        <v>-10.01</v>
      </c>
      <c r="J48" s="46">
        <f t="shared" si="3"/>
        <v>-8.0210000000000008</v>
      </c>
      <c r="K48" s="46">
        <f t="shared" si="3"/>
        <v>-6.28</v>
      </c>
      <c r="L48" s="46">
        <f t="shared" si="3"/>
        <v>-4.7359999999999998</v>
      </c>
      <c r="M48" s="46">
        <f t="shared" si="3"/>
        <v>-4.141</v>
      </c>
      <c r="N48" s="46">
        <f t="shared" si="3"/>
        <v>-4.2229999999999999</v>
      </c>
      <c r="O48" s="46">
        <f t="shared" si="3"/>
        <v>-4.5529999999999999</v>
      </c>
      <c r="P48" s="46">
        <f t="shared" si="3"/>
        <v>-4.8730000000000002</v>
      </c>
      <c r="Q48" s="46">
        <f t="shared" si="3"/>
        <v>-5.1749999999999998</v>
      </c>
      <c r="R48" s="46">
        <f t="shared" si="3"/>
        <v>-5.2469999999999999</v>
      </c>
      <c r="S48" s="46">
        <f t="shared" si="3"/>
        <v>-5.3179999999999996</v>
      </c>
      <c r="T48" s="46">
        <f t="shared" si="3"/>
        <v>-5.3890000000000002</v>
      </c>
      <c r="U48" s="46">
        <f t="shared" si="3"/>
        <v>-5.4580000000000002</v>
      </c>
      <c r="V48" s="46">
        <f t="shared" si="3"/>
        <v>-5.7869999999999999</v>
      </c>
      <c r="W48" s="46">
        <f t="shared" si="3"/>
        <v>-6.3879999999999999</v>
      </c>
      <c r="X48" s="46">
        <f t="shared" si="3"/>
        <v>-6.5250000000000004</v>
      </c>
      <c r="Y48" s="46">
        <f t="shared" si="3"/>
        <v>-6.6580000000000004</v>
      </c>
      <c r="Z48" s="46">
        <f t="shared" si="3"/>
        <v>-6.7869999999999999</v>
      </c>
      <c r="AA48" s="46">
        <f t="shared" si="3"/>
        <v>-6.9109999999999996</v>
      </c>
      <c r="AB48" s="46"/>
      <c r="AC48" s="46"/>
      <c r="AD48" s="46"/>
      <c r="AE48" s="46"/>
      <c r="AF48" s="46"/>
      <c r="AG48" s="46"/>
      <c r="AH48" s="46"/>
      <c r="AI48" s="46"/>
      <c r="AJ48" s="46"/>
    </row>
    <row r="49" spans="1:36" ht="21" hidden="1" customHeight="1" outlineLevel="1" thickBot="1" x14ac:dyDescent="0.4">
      <c r="A49" s="5">
        <f>A5</f>
        <v>0</v>
      </c>
      <c r="B49" s="5">
        <f>B5</f>
        <v>0</v>
      </c>
      <c r="C49" s="5">
        <f>C5</f>
        <v>1</v>
      </c>
      <c r="D49" s="5">
        <f>D5</f>
        <v>0</v>
      </c>
      <c r="E49" s="41" t="str">
        <f>E5</f>
        <v>*Ge</v>
      </c>
      <c r="F49" s="46">
        <f t="shared" ref="F49:U63" si="4">$A49*F$16 + $B49*F$19 + $C49*F$18 + $D49*F$17</f>
        <v>-15.35</v>
      </c>
      <c r="G49" s="46">
        <f t="shared" si="3"/>
        <v>-14.36</v>
      </c>
      <c r="H49" s="46">
        <f t="shared" si="3"/>
        <v>-12.3</v>
      </c>
      <c r="I49" s="46">
        <f t="shared" si="3"/>
        <v>-10.01</v>
      </c>
      <c r="J49" s="46">
        <f t="shared" si="3"/>
        <v>-8.0210000000000008</v>
      </c>
      <c r="K49" s="46">
        <f t="shared" si="3"/>
        <v>-6.28</v>
      </c>
      <c r="L49" s="46">
        <f t="shared" si="3"/>
        <v>-4.7359999999999998</v>
      </c>
      <c r="M49" s="46">
        <f t="shared" si="3"/>
        <v>-4.141</v>
      </c>
      <c r="N49" s="46">
        <f t="shared" si="3"/>
        <v>-4.2229999999999999</v>
      </c>
      <c r="O49" s="46">
        <f t="shared" si="3"/>
        <v>-4.5529999999999999</v>
      </c>
      <c r="P49" s="46">
        <f t="shared" si="3"/>
        <v>-4.8730000000000002</v>
      </c>
      <c r="Q49" s="46">
        <f t="shared" si="3"/>
        <v>-5.1749999999999998</v>
      </c>
      <c r="R49" s="46">
        <f t="shared" si="3"/>
        <v>-5.2469999999999999</v>
      </c>
      <c r="S49" s="46">
        <f t="shared" si="3"/>
        <v>-5.3179999999999996</v>
      </c>
      <c r="T49" s="46">
        <f t="shared" si="3"/>
        <v>-5.3890000000000002</v>
      </c>
      <c r="U49" s="46">
        <f t="shared" si="3"/>
        <v>-5.4580000000000002</v>
      </c>
      <c r="V49" s="46">
        <f t="shared" si="3"/>
        <v>-5.7869999999999999</v>
      </c>
      <c r="W49" s="46">
        <f t="shared" si="3"/>
        <v>-6.3879999999999999</v>
      </c>
      <c r="X49" s="46">
        <f t="shared" si="3"/>
        <v>-6.5250000000000004</v>
      </c>
      <c r="Y49" s="46">
        <f t="shared" si="3"/>
        <v>-6.6580000000000004</v>
      </c>
      <c r="Z49" s="46">
        <f t="shared" si="3"/>
        <v>-6.7869999999999999</v>
      </c>
      <c r="AA49" s="46">
        <f t="shared" si="3"/>
        <v>-6.9109999999999996</v>
      </c>
      <c r="AB49" s="46"/>
      <c r="AC49" s="46"/>
      <c r="AD49" s="46"/>
      <c r="AE49" s="46"/>
      <c r="AF49" s="46"/>
      <c r="AG49" s="46"/>
      <c r="AH49" s="46"/>
      <c r="AI49" s="46"/>
      <c r="AJ49" s="46"/>
    </row>
    <row r="50" spans="1:36" ht="21" hidden="1" customHeight="1" outlineLevel="1" thickBot="1" x14ac:dyDescent="0.4">
      <c r="A50" s="5">
        <f>A6</f>
        <v>0</v>
      </c>
      <c r="B50" s="5">
        <f>B6</f>
        <v>1</v>
      </c>
      <c r="C50" s="5">
        <f>C6</f>
        <v>1</v>
      </c>
      <c r="D50" s="5">
        <f>D6</f>
        <v>0</v>
      </c>
      <c r="E50" s="41" t="str">
        <f>E6</f>
        <v>*GeSe</v>
      </c>
      <c r="F50" s="46">
        <f t="shared" si="4"/>
        <v>-37.24</v>
      </c>
      <c r="G50" s="46">
        <f t="shared" si="3"/>
        <v>-34.47</v>
      </c>
      <c r="H50" s="46">
        <f t="shared" si="3"/>
        <v>-32.269999999999996</v>
      </c>
      <c r="I50" s="46">
        <f t="shared" si="3"/>
        <v>-30.479999999999997</v>
      </c>
      <c r="J50" s="46">
        <f t="shared" si="3"/>
        <v>-29.001000000000001</v>
      </c>
      <c r="K50" s="46">
        <f t="shared" si="3"/>
        <v>-27.77</v>
      </c>
      <c r="L50" s="46">
        <f t="shared" si="3"/>
        <v>-26.746000000000002</v>
      </c>
      <c r="M50" s="46">
        <f t="shared" si="3"/>
        <v>-26.651000000000003</v>
      </c>
      <c r="N50" s="46">
        <f t="shared" si="3"/>
        <v>-27.242999999999999</v>
      </c>
      <c r="O50" s="46">
        <f t="shared" si="3"/>
        <v>-29.513000000000002</v>
      </c>
      <c r="P50" s="46">
        <f t="shared" si="3"/>
        <v>-31.643000000000001</v>
      </c>
      <c r="Q50" s="46">
        <f t="shared" si="3"/>
        <v>-33.664999999999999</v>
      </c>
      <c r="R50" s="46">
        <f t="shared" si="3"/>
        <v>-34.146999999999998</v>
      </c>
      <c r="S50" s="46">
        <f t="shared" si="3"/>
        <v>-34.628</v>
      </c>
      <c r="T50" s="46">
        <f t="shared" si="3"/>
        <v>-35.109000000000002</v>
      </c>
      <c r="U50" s="46">
        <f t="shared" si="3"/>
        <v>-35.578000000000003</v>
      </c>
      <c r="V50" s="46">
        <f t="shared" si="3"/>
        <v>-37.477000000000004</v>
      </c>
      <c r="W50" s="46">
        <f t="shared" si="3"/>
        <v>-39.607999999999997</v>
      </c>
      <c r="X50" s="46">
        <f t="shared" si="3"/>
        <v>-40.115000000000002</v>
      </c>
      <c r="Y50" s="46">
        <f t="shared" si="3"/>
        <v>-40.628</v>
      </c>
      <c r="Z50" s="46">
        <f t="shared" si="3"/>
        <v>-41.127000000000002</v>
      </c>
      <c r="AA50" s="46">
        <f t="shared" si="3"/>
        <v>-41.621000000000002</v>
      </c>
      <c r="AB50" s="46"/>
      <c r="AC50" s="46"/>
      <c r="AD50" s="46"/>
      <c r="AE50" s="46"/>
      <c r="AF50" s="46"/>
      <c r="AG50" s="46"/>
      <c r="AH50" s="46"/>
      <c r="AI50" s="46"/>
      <c r="AJ50" s="46"/>
    </row>
    <row r="51" spans="1:36" ht="21" hidden="1" customHeight="1" outlineLevel="1" thickBot="1" x14ac:dyDescent="0.4">
      <c r="A51" s="5">
        <f>A7</f>
        <v>0</v>
      </c>
      <c r="B51" s="5">
        <f>B7</f>
        <v>0</v>
      </c>
      <c r="C51" s="5">
        <f>C7</f>
        <v>0</v>
      </c>
      <c r="D51" s="5">
        <f>D7</f>
        <v>1</v>
      </c>
      <c r="E51" s="41" t="str">
        <f>E7</f>
        <v>*Ga</v>
      </c>
      <c r="F51" s="46">
        <f t="shared" si="4"/>
        <v>-60.99</v>
      </c>
      <c r="G51" s="46">
        <f t="shared" si="3"/>
        <v>-55.39</v>
      </c>
      <c r="H51" s="46">
        <f t="shared" si="3"/>
        <v>-48.92</v>
      </c>
      <c r="I51" s="46">
        <f t="shared" si="3"/>
        <v>-42.66</v>
      </c>
      <c r="J51" s="46">
        <f t="shared" si="3"/>
        <v>-37.28</v>
      </c>
      <c r="K51" s="46">
        <f t="shared" si="3"/>
        <v>-32.6</v>
      </c>
      <c r="L51" s="46">
        <f t="shared" si="3"/>
        <v>-28.48</v>
      </c>
      <c r="M51" s="46">
        <f t="shared" si="3"/>
        <v>-25.41</v>
      </c>
      <c r="N51" s="46">
        <f t="shared" si="3"/>
        <v>-26.73</v>
      </c>
      <c r="O51" s="46">
        <f t="shared" si="3"/>
        <v>-31.78</v>
      </c>
      <c r="P51" s="46">
        <f t="shared" si="3"/>
        <v>-36.28</v>
      </c>
      <c r="Q51" s="46">
        <f t="shared" si="3"/>
        <v>-40.049999999999997</v>
      </c>
      <c r="R51" s="46">
        <f t="shared" si="3"/>
        <v>-40.86</v>
      </c>
      <c r="S51" s="46">
        <f t="shared" si="3"/>
        <v>-41.61</v>
      </c>
      <c r="T51" s="46">
        <f t="shared" si="3"/>
        <v>-42.31</v>
      </c>
      <c r="U51" s="46">
        <f t="shared" si="3"/>
        <v>-42.94</v>
      </c>
      <c r="V51" s="46">
        <f t="shared" si="3"/>
        <v>-44.86</v>
      </c>
      <c r="W51" s="46">
        <f t="shared" si="3"/>
        <v>-45.72</v>
      </c>
      <c r="X51" s="46">
        <f t="shared" si="3"/>
        <v>-45.76</v>
      </c>
      <c r="Y51" s="46">
        <f t="shared" si="3"/>
        <v>-45.74</v>
      </c>
      <c r="Z51" s="46">
        <f t="shared" si="3"/>
        <v>-45.64</v>
      </c>
      <c r="AA51" s="46">
        <f t="shared" si="3"/>
        <v>-45.47</v>
      </c>
      <c r="AB51" s="46"/>
      <c r="AC51" s="46"/>
      <c r="AD51" s="46"/>
      <c r="AE51" s="46"/>
      <c r="AF51" s="46"/>
      <c r="AG51" s="46"/>
      <c r="AH51" s="46"/>
      <c r="AI51" s="46"/>
      <c r="AJ51" s="46"/>
    </row>
    <row r="52" spans="1:36" ht="21" hidden="1" customHeight="1" outlineLevel="1" thickBot="1" x14ac:dyDescent="0.4">
      <c r="A52" s="5">
        <f>A8</f>
        <v>0</v>
      </c>
      <c r="B52" s="5">
        <f>B8</f>
        <v>0</v>
      </c>
      <c r="C52" s="5">
        <f>C8</f>
        <v>1</v>
      </c>
      <c r="D52" s="5">
        <f>D8</f>
        <v>0</v>
      </c>
      <c r="E52" s="41" t="str">
        <f>E8</f>
        <v>*Ge[c]</v>
      </c>
      <c r="F52" s="46">
        <f t="shared" si="4"/>
        <v>-15.35</v>
      </c>
      <c r="G52" s="46">
        <f t="shared" si="3"/>
        <v>-14.36</v>
      </c>
      <c r="H52" s="46">
        <f t="shared" si="3"/>
        <v>-12.3</v>
      </c>
      <c r="I52" s="46">
        <f t="shared" si="3"/>
        <v>-10.01</v>
      </c>
      <c r="J52" s="46">
        <f t="shared" si="3"/>
        <v>-8.0210000000000008</v>
      </c>
      <c r="K52" s="46">
        <f t="shared" si="3"/>
        <v>-6.28</v>
      </c>
      <c r="L52" s="46">
        <f t="shared" si="3"/>
        <v>-4.7359999999999998</v>
      </c>
      <c r="M52" s="46">
        <f t="shared" si="3"/>
        <v>-4.141</v>
      </c>
      <c r="N52" s="46">
        <f t="shared" si="3"/>
        <v>-4.2229999999999999</v>
      </c>
      <c r="O52" s="46">
        <f t="shared" si="3"/>
        <v>-4.5529999999999999</v>
      </c>
      <c r="P52" s="46">
        <f t="shared" si="3"/>
        <v>-4.8730000000000002</v>
      </c>
      <c r="Q52" s="46">
        <f t="shared" si="3"/>
        <v>-5.1749999999999998</v>
      </c>
      <c r="R52" s="46">
        <f t="shared" si="3"/>
        <v>-5.2469999999999999</v>
      </c>
      <c r="S52" s="46">
        <f t="shared" si="3"/>
        <v>-5.3179999999999996</v>
      </c>
      <c r="T52" s="46">
        <f t="shared" si="3"/>
        <v>-5.3890000000000002</v>
      </c>
      <c r="U52" s="46">
        <f t="shared" si="3"/>
        <v>-5.4580000000000002</v>
      </c>
      <c r="V52" s="46">
        <f t="shared" si="3"/>
        <v>-5.7869999999999999</v>
      </c>
      <c r="W52" s="46">
        <f t="shared" si="3"/>
        <v>-6.3879999999999999</v>
      </c>
      <c r="X52" s="46">
        <f t="shared" si="3"/>
        <v>-6.5250000000000004</v>
      </c>
      <c r="Y52" s="46">
        <f t="shared" si="3"/>
        <v>-6.6580000000000004</v>
      </c>
      <c r="Z52" s="46">
        <f t="shared" si="3"/>
        <v>-6.7869999999999999</v>
      </c>
      <c r="AA52" s="46">
        <f t="shared" si="3"/>
        <v>-6.9109999999999996</v>
      </c>
      <c r="AB52" s="46"/>
      <c r="AC52" s="46"/>
      <c r="AD52" s="46"/>
      <c r="AE52" s="46"/>
      <c r="AF52" s="46"/>
      <c r="AG52" s="46"/>
      <c r="AH52" s="46"/>
      <c r="AI52" s="46"/>
      <c r="AJ52" s="46"/>
    </row>
    <row r="53" spans="1:36" ht="21" hidden="1" customHeight="1" outlineLevel="1" thickBot="1" x14ac:dyDescent="0.4">
      <c r="A53" s="5">
        <f>A9</f>
        <v>0</v>
      </c>
      <c r="B53" s="5">
        <f>B9</f>
        <v>1</v>
      </c>
      <c r="C53" s="5">
        <f>C9</f>
        <v>0</v>
      </c>
      <c r="D53" s="5">
        <f>D9</f>
        <v>0</v>
      </c>
      <c r="E53" s="41" t="str">
        <f>E9</f>
        <v>*Se[m]</v>
      </c>
      <c r="F53" s="46">
        <f>$A53*F$16 + $B53*F$19 + $C53*F$18 + $D53*F$17</f>
        <v>-21.89</v>
      </c>
      <c r="G53" s="46">
        <f t="shared" si="3"/>
        <v>-20.11</v>
      </c>
      <c r="H53" s="46">
        <f t="shared" si="3"/>
        <v>-19.97</v>
      </c>
      <c r="I53" s="46">
        <f t="shared" si="3"/>
        <v>-20.47</v>
      </c>
      <c r="J53" s="46">
        <f t="shared" si="3"/>
        <v>-20.98</v>
      </c>
      <c r="K53" s="46">
        <f t="shared" si="3"/>
        <v>-21.49</v>
      </c>
      <c r="L53" s="46">
        <f t="shared" si="3"/>
        <v>-22.01</v>
      </c>
      <c r="M53" s="46">
        <f t="shared" si="3"/>
        <v>-22.51</v>
      </c>
      <c r="N53" s="46">
        <f t="shared" si="3"/>
        <v>-23.02</v>
      </c>
      <c r="O53" s="46">
        <f t="shared" si="3"/>
        <v>-24.96</v>
      </c>
      <c r="P53" s="46">
        <f t="shared" si="3"/>
        <v>-26.77</v>
      </c>
      <c r="Q53" s="46">
        <f t="shared" si="3"/>
        <v>-28.49</v>
      </c>
      <c r="R53" s="46">
        <f t="shared" si="3"/>
        <v>-28.9</v>
      </c>
      <c r="S53" s="46">
        <f t="shared" si="3"/>
        <v>-29.31</v>
      </c>
      <c r="T53" s="46">
        <f t="shared" si="3"/>
        <v>-29.72</v>
      </c>
      <c r="U53" s="46">
        <f t="shared" si="3"/>
        <v>-30.12</v>
      </c>
      <c r="V53" s="46">
        <f t="shared" si="3"/>
        <v>-31.69</v>
      </c>
      <c r="W53" s="46">
        <f t="shared" si="3"/>
        <v>-33.22</v>
      </c>
      <c r="X53" s="46">
        <f t="shared" si="3"/>
        <v>-33.590000000000003</v>
      </c>
      <c r="Y53" s="46">
        <f t="shared" si="3"/>
        <v>-33.97</v>
      </c>
      <c r="Z53" s="46">
        <f t="shared" si="3"/>
        <v>-34.340000000000003</v>
      </c>
      <c r="AA53" s="46">
        <f t="shared" si="3"/>
        <v>-34.71</v>
      </c>
      <c r="AB53" s="46"/>
      <c r="AC53" s="46"/>
      <c r="AD53" s="46"/>
      <c r="AE53" s="46"/>
      <c r="AF53" s="46"/>
      <c r="AG53" s="46"/>
      <c r="AH53" s="46"/>
      <c r="AI53" s="46"/>
      <c r="AJ53" s="46"/>
    </row>
    <row r="54" spans="1:36" ht="21" hidden="1" customHeight="1" outlineLevel="1" thickBot="1" x14ac:dyDescent="0.4">
      <c r="A54" s="5">
        <f>A10</f>
        <v>0</v>
      </c>
      <c r="B54" s="5">
        <f>B10</f>
        <v>2</v>
      </c>
      <c r="C54" s="5">
        <f>C10</f>
        <v>1</v>
      </c>
      <c r="D54" s="5">
        <f>D10</f>
        <v>0</v>
      </c>
      <c r="E54" s="41" t="str">
        <f>E10</f>
        <v>*GeSe2</v>
      </c>
      <c r="F54" s="46">
        <f t="shared" si="4"/>
        <v>-59.13</v>
      </c>
      <c r="G54" s="46">
        <f t="shared" si="3"/>
        <v>-54.58</v>
      </c>
      <c r="H54" s="46">
        <f t="shared" si="3"/>
        <v>-52.239999999999995</v>
      </c>
      <c r="I54" s="46">
        <f t="shared" si="3"/>
        <v>-50.949999999999996</v>
      </c>
      <c r="J54" s="46">
        <f t="shared" si="3"/>
        <v>-49.981000000000002</v>
      </c>
      <c r="K54" s="46">
        <f t="shared" si="3"/>
        <v>-49.26</v>
      </c>
      <c r="L54" s="46">
        <f t="shared" si="3"/>
        <v>-48.756</v>
      </c>
      <c r="M54" s="46">
        <f t="shared" si="3"/>
        <v>-49.161000000000001</v>
      </c>
      <c r="N54" s="46">
        <f t="shared" si="3"/>
        <v>-50.262999999999998</v>
      </c>
      <c r="O54" s="46">
        <f t="shared" si="3"/>
        <v>-54.472999999999999</v>
      </c>
      <c r="P54" s="46">
        <f t="shared" si="3"/>
        <v>-58.412999999999997</v>
      </c>
      <c r="Q54" s="46">
        <f t="shared" si="3"/>
        <v>-62.154999999999994</v>
      </c>
      <c r="R54" s="46">
        <f t="shared" si="3"/>
        <v>-63.046999999999997</v>
      </c>
      <c r="S54" s="46">
        <f t="shared" si="3"/>
        <v>-63.937999999999995</v>
      </c>
      <c r="T54" s="46">
        <f t="shared" si="3"/>
        <v>-64.828999999999994</v>
      </c>
      <c r="U54" s="46">
        <f t="shared" si="3"/>
        <v>-65.698000000000008</v>
      </c>
      <c r="V54" s="46">
        <f t="shared" si="3"/>
        <v>-69.167000000000002</v>
      </c>
      <c r="W54" s="46">
        <f t="shared" si="3"/>
        <v>-72.828000000000003</v>
      </c>
      <c r="X54" s="46">
        <f t="shared" si="3"/>
        <v>-73.705000000000013</v>
      </c>
      <c r="Y54" s="46">
        <f t="shared" si="3"/>
        <v>-74.597999999999999</v>
      </c>
      <c r="Z54" s="46">
        <f t="shared" si="3"/>
        <v>-75.467000000000013</v>
      </c>
      <c r="AA54" s="46">
        <f t="shared" si="3"/>
        <v>-76.331000000000003</v>
      </c>
      <c r="AB54" s="46"/>
      <c r="AC54" s="46"/>
      <c r="AD54" s="46"/>
      <c r="AE54" s="46"/>
      <c r="AF54" s="46"/>
      <c r="AG54" s="46"/>
      <c r="AH54" s="46"/>
      <c r="AI54" s="46"/>
      <c r="AJ54" s="46"/>
    </row>
    <row r="55" spans="1:36" ht="21" hidden="1" customHeight="1" outlineLevel="1" thickBot="1" x14ac:dyDescent="0.4">
      <c r="A55" s="5">
        <f>A11</f>
        <v>0</v>
      </c>
      <c r="B55" s="5">
        <f>B11</f>
        <v>3</v>
      </c>
      <c r="C55" s="5">
        <f>C11</f>
        <v>0</v>
      </c>
      <c r="D55" s="5">
        <f>D11</f>
        <v>2</v>
      </c>
      <c r="E55" s="41" t="str">
        <f>E11</f>
        <v>Ga2Se3</v>
      </c>
      <c r="F55" s="46">
        <f t="shared" si="4"/>
        <v>-187.65</v>
      </c>
      <c r="G55" s="46">
        <f t="shared" si="3"/>
        <v>-171.11</v>
      </c>
      <c r="H55" s="46">
        <f t="shared" si="3"/>
        <v>-157.75</v>
      </c>
      <c r="I55" s="46">
        <f t="shared" si="3"/>
        <v>-146.72999999999999</v>
      </c>
      <c r="J55" s="46">
        <f t="shared" si="3"/>
        <v>-137.5</v>
      </c>
      <c r="K55" s="46">
        <f t="shared" si="3"/>
        <v>-129.67000000000002</v>
      </c>
      <c r="L55" s="46">
        <f t="shared" si="3"/>
        <v>-122.99000000000001</v>
      </c>
      <c r="M55" s="46">
        <f t="shared" si="3"/>
        <v>-118.35</v>
      </c>
      <c r="N55" s="46">
        <f t="shared" si="3"/>
        <v>-122.52000000000001</v>
      </c>
      <c r="O55" s="46">
        <f t="shared" si="3"/>
        <v>-138.44</v>
      </c>
      <c r="P55" s="46">
        <f t="shared" si="3"/>
        <v>-152.87</v>
      </c>
      <c r="Q55" s="46">
        <f t="shared" si="3"/>
        <v>-165.57</v>
      </c>
      <c r="R55" s="46">
        <f t="shared" si="3"/>
        <v>-168.42</v>
      </c>
      <c r="S55" s="46">
        <f t="shared" si="3"/>
        <v>-171.14999999999998</v>
      </c>
      <c r="T55" s="46">
        <f t="shared" si="3"/>
        <v>-173.78</v>
      </c>
      <c r="U55" s="46">
        <f t="shared" si="3"/>
        <v>-176.24</v>
      </c>
      <c r="V55" s="46">
        <f t="shared" si="3"/>
        <v>-184.79000000000002</v>
      </c>
      <c r="W55" s="46">
        <f t="shared" si="3"/>
        <v>-191.1</v>
      </c>
      <c r="X55" s="46">
        <f t="shared" si="3"/>
        <v>-192.29000000000002</v>
      </c>
      <c r="Y55" s="46">
        <f t="shared" si="3"/>
        <v>-193.39</v>
      </c>
      <c r="Z55" s="46">
        <f t="shared" si="3"/>
        <v>-194.3</v>
      </c>
      <c r="AA55" s="46">
        <f t="shared" si="3"/>
        <v>-195.07</v>
      </c>
      <c r="AB55" s="46"/>
      <c r="AC55" s="46"/>
      <c r="AD55" s="46"/>
      <c r="AE55" s="46"/>
      <c r="AF55" s="46"/>
      <c r="AG55" s="46"/>
      <c r="AH55" s="46"/>
      <c r="AI55" s="46"/>
      <c r="AJ55" s="46"/>
    </row>
    <row r="56" spans="1:36" ht="21" hidden="1" customHeight="1" outlineLevel="1" thickBot="1" x14ac:dyDescent="0.4">
      <c r="A56" s="5">
        <f>A12</f>
        <v>0</v>
      </c>
      <c r="B56" s="5">
        <f>B12</f>
        <v>0</v>
      </c>
      <c r="C56" s="5">
        <f>C12</f>
        <v>2</v>
      </c>
      <c r="D56" s="5">
        <f>D12</f>
        <v>0</v>
      </c>
      <c r="E56" s="41" t="str">
        <f>E12</f>
        <v>Ge2</v>
      </c>
      <c r="F56" s="46">
        <f t="shared" si="4"/>
        <v>-30.7</v>
      </c>
      <c r="G56" s="46">
        <f t="shared" si="3"/>
        <v>-28.72</v>
      </c>
      <c r="H56" s="46">
        <f t="shared" si="3"/>
        <v>-24.6</v>
      </c>
      <c r="I56" s="46">
        <f t="shared" si="3"/>
        <v>-20.02</v>
      </c>
      <c r="J56" s="46">
        <f t="shared" si="3"/>
        <v>-16.042000000000002</v>
      </c>
      <c r="K56" s="46">
        <f t="shared" si="3"/>
        <v>-12.56</v>
      </c>
      <c r="L56" s="46">
        <f t="shared" si="3"/>
        <v>-9.4719999999999995</v>
      </c>
      <c r="M56" s="46">
        <f t="shared" si="3"/>
        <v>-8.282</v>
      </c>
      <c r="N56" s="46">
        <f t="shared" si="3"/>
        <v>-8.4459999999999997</v>
      </c>
      <c r="O56" s="46">
        <f t="shared" si="3"/>
        <v>-9.1059999999999999</v>
      </c>
      <c r="P56" s="46">
        <f t="shared" si="3"/>
        <v>-9.7460000000000004</v>
      </c>
      <c r="Q56" s="46">
        <f t="shared" si="3"/>
        <v>-10.35</v>
      </c>
      <c r="R56" s="46">
        <f t="shared" si="3"/>
        <v>-10.494</v>
      </c>
      <c r="S56" s="46">
        <f t="shared" si="3"/>
        <v>-10.635999999999999</v>
      </c>
      <c r="T56" s="46">
        <f t="shared" si="3"/>
        <v>-10.778</v>
      </c>
      <c r="U56" s="46">
        <f t="shared" si="3"/>
        <v>-10.916</v>
      </c>
      <c r="V56" s="46">
        <f t="shared" si="3"/>
        <v>-11.574</v>
      </c>
      <c r="W56" s="46">
        <f t="shared" si="3"/>
        <v>-12.776</v>
      </c>
      <c r="X56" s="46">
        <f t="shared" si="3"/>
        <v>-13.05</v>
      </c>
      <c r="Y56" s="46">
        <f t="shared" si="3"/>
        <v>-13.316000000000001</v>
      </c>
      <c r="Z56" s="46">
        <f t="shared" si="3"/>
        <v>-13.574</v>
      </c>
      <c r="AA56" s="46">
        <f t="shared" si="3"/>
        <v>-13.821999999999999</v>
      </c>
      <c r="AB56" s="46"/>
      <c r="AC56" s="46"/>
      <c r="AD56" s="46"/>
      <c r="AE56" s="46"/>
      <c r="AF56" s="46"/>
      <c r="AG56" s="46"/>
      <c r="AH56" s="46"/>
      <c r="AI56" s="46"/>
      <c r="AJ56" s="46"/>
    </row>
    <row r="57" spans="1:36" ht="21" hidden="1" customHeight="1" outlineLevel="1" thickBot="1" x14ac:dyDescent="0.4">
      <c r="A57" s="5">
        <f>A13</f>
        <v>0</v>
      </c>
      <c r="B57" s="5">
        <f>B13</f>
        <v>0</v>
      </c>
      <c r="C57" s="5">
        <f>C13</f>
        <v>1</v>
      </c>
      <c r="D57" s="5">
        <f>D13</f>
        <v>0</v>
      </c>
      <c r="E57" s="41" t="str">
        <f>E13</f>
        <v>Ge</v>
      </c>
      <c r="F57" s="46">
        <f t="shared" si="4"/>
        <v>-15.35</v>
      </c>
      <c r="G57" s="46">
        <f t="shared" si="3"/>
        <v>-14.36</v>
      </c>
      <c r="H57" s="46">
        <f t="shared" si="3"/>
        <v>-12.3</v>
      </c>
      <c r="I57" s="46">
        <f t="shared" si="3"/>
        <v>-10.01</v>
      </c>
      <c r="J57" s="46">
        <f t="shared" si="3"/>
        <v>-8.0210000000000008</v>
      </c>
      <c r="K57" s="46">
        <f t="shared" si="3"/>
        <v>-6.28</v>
      </c>
      <c r="L57" s="46">
        <f t="shared" si="3"/>
        <v>-4.7359999999999998</v>
      </c>
      <c r="M57" s="46">
        <f t="shared" si="3"/>
        <v>-4.141</v>
      </c>
      <c r="N57" s="46">
        <f t="shared" si="3"/>
        <v>-4.2229999999999999</v>
      </c>
      <c r="O57" s="46">
        <f t="shared" si="3"/>
        <v>-4.5529999999999999</v>
      </c>
      <c r="P57" s="46">
        <f t="shared" si="3"/>
        <v>-4.8730000000000002</v>
      </c>
      <c r="Q57" s="46">
        <f t="shared" si="3"/>
        <v>-5.1749999999999998</v>
      </c>
      <c r="R57" s="46">
        <f t="shared" si="3"/>
        <v>-5.2469999999999999</v>
      </c>
      <c r="S57" s="46">
        <f t="shared" si="3"/>
        <v>-5.3179999999999996</v>
      </c>
      <c r="T57" s="46">
        <f t="shared" si="3"/>
        <v>-5.3890000000000002</v>
      </c>
      <c r="U57" s="46">
        <f t="shared" si="3"/>
        <v>-5.4580000000000002</v>
      </c>
      <c r="V57" s="46">
        <f t="shared" si="3"/>
        <v>-5.7869999999999999</v>
      </c>
      <c r="W57" s="46">
        <f t="shared" si="3"/>
        <v>-6.3879999999999999</v>
      </c>
      <c r="X57" s="46">
        <f t="shared" si="3"/>
        <v>-6.5250000000000004</v>
      </c>
      <c r="Y57" s="46">
        <f t="shared" si="3"/>
        <v>-6.6580000000000004</v>
      </c>
      <c r="Z57" s="46">
        <f t="shared" si="3"/>
        <v>-6.7869999999999999</v>
      </c>
      <c r="AA57" s="46">
        <f t="shared" si="3"/>
        <v>-6.9109999999999996</v>
      </c>
      <c r="AB57" s="46"/>
      <c r="AC57" s="46"/>
      <c r="AD57" s="46"/>
      <c r="AE57" s="46"/>
      <c r="AF57" s="46"/>
      <c r="AG57" s="46"/>
      <c r="AH57" s="46"/>
      <c r="AI57" s="46"/>
      <c r="AJ57" s="46"/>
    </row>
    <row r="58" spans="1:36" ht="21" hidden="1" customHeight="1" outlineLevel="1" thickBot="1" x14ac:dyDescent="0.4">
      <c r="A58" s="5">
        <f>A14</f>
        <v>1</v>
      </c>
      <c r="B58" s="5">
        <f>B14</f>
        <v>0</v>
      </c>
      <c r="C58" s="5">
        <f>C14</f>
        <v>0</v>
      </c>
      <c r="D58" s="5">
        <f>D14</f>
        <v>0</v>
      </c>
      <c r="E58" s="41" t="str">
        <f>E14</f>
        <v>Ar</v>
      </c>
      <c r="F58" s="46">
        <f t="shared" si="4"/>
        <v>-19.02</v>
      </c>
      <c r="G58" s="46">
        <f t="shared" si="3"/>
        <v>-19.03</v>
      </c>
      <c r="H58" s="46">
        <f t="shared" si="3"/>
        <v>-19.059999999999999</v>
      </c>
      <c r="I58" s="46">
        <f t="shared" si="3"/>
        <v>-19.11</v>
      </c>
      <c r="J58" s="46">
        <f t="shared" si="3"/>
        <v>-19.170000000000002</v>
      </c>
      <c r="K58" s="46">
        <f t="shared" si="3"/>
        <v>-19.23</v>
      </c>
      <c r="L58" s="46">
        <f t="shared" si="3"/>
        <v>-19.3</v>
      </c>
      <c r="M58" s="46">
        <f t="shared" si="3"/>
        <v>-19.07</v>
      </c>
      <c r="N58" s="46">
        <f t="shared" si="3"/>
        <v>-19.03</v>
      </c>
      <c r="O58" s="46">
        <f t="shared" si="3"/>
        <v>-19.309999999999999</v>
      </c>
      <c r="P58" s="46">
        <f t="shared" si="3"/>
        <v>-19.57</v>
      </c>
      <c r="Q58" s="46">
        <f t="shared" si="3"/>
        <v>-19.82</v>
      </c>
      <c r="R58" s="46">
        <f t="shared" si="3"/>
        <v>-19.88</v>
      </c>
      <c r="S58" s="46">
        <f t="shared" si="3"/>
        <v>-19.940000000000001</v>
      </c>
      <c r="T58" s="46">
        <f t="shared" si="3"/>
        <v>-20</v>
      </c>
      <c r="U58" s="46">
        <f t="shared" si="3"/>
        <v>-20.05</v>
      </c>
      <c r="V58" s="46">
        <f t="shared" si="3"/>
        <v>-20.260000000000002</v>
      </c>
      <c r="W58" s="46">
        <f t="shared" si="3"/>
        <v>-20.46</v>
      </c>
      <c r="X58" s="46">
        <f t="shared" si="3"/>
        <v>-20.51</v>
      </c>
      <c r="Y58" s="46">
        <f t="shared" si="3"/>
        <v>-20.56</v>
      </c>
      <c r="Z58" s="46">
        <f t="shared" si="3"/>
        <v>-20.6</v>
      </c>
      <c r="AA58" s="46">
        <f t="shared" si="3"/>
        <v>-20.65</v>
      </c>
      <c r="AB58" s="46"/>
      <c r="AC58" s="46"/>
      <c r="AD58" s="46"/>
      <c r="AE58" s="46"/>
      <c r="AF58" s="46"/>
      <c r="AG58" s="46"/>
      <c r="AH58" s="46"/>
      <c r="AI58" s="46"/>
      <c r="AJ58" s="46"/>
    </row>
    <row r="59" spans="1:36" ht="21" hidden="1" customHeight="1" outlineLevel="1" thickBot="1" x14ac:dyDescent="0.4">
      <c r="A59" s="5">
        <f>A15</f>
        <v>0</v>
      </c>
      <c r="B59" s="5">
        <f>B15</f>
        <v>0</v>
      </c>
      <c r="C59" s="5">
        <f>C15</f>
        <v>1</v>
      </c>
      <c r="D59" s="5">
        <f>D15</f>
        <v>0</v>
      </c>
      <c r="E59" s="41" t="str">
        <f>E15</f>
        <v>(l)Ge[l]</v>
      </c>
      <c r="F59" s="46">
        <f t="shared" si="4"/>
        <v>-15.35</v>
      </c>
      <c r="G59" s="46">
        <f t="shared" si="4"/>
        <v>-14.36</v>
      </c>
      <c r="H59" s="46">
        <f t="shared" si="4"/>
        <v>-12.3</v>
      </c>
      <c r="I59" s="46">
        <f t="shared" si="4"/>
        <v>-10.01</v>
      </c>
      <c r="J59" s="46">
        <f t="shared" si="4"/>
        <v>-8.0210000000000008</v>
      </c>
      <c r="K59" s="46">
        <f t="shared" si="4"/>
        <v>-6.28</v>
      </c>
      <c r="L59" s="46">
        <f t="shared" si="4"/>
        <v>-4.7359999999999998</v>
      </c>
      <c r="M59" s="46">
        <f t="shared" si="4"/>
        <v>-4.141</v>
      </c>
      <c r="N59" s="46">
        <f t="shared" si="4"/>
        <v>-4.2229999999999999</v>
      </c>
      <c r="O59" s="46">
        <f t="shared" si="4"/>
        <v>-4.5529999999999999</v>
      </c>
      <c r="P59" s="46">
        <f t="shared" si="4"/>
        <v>-4.8730000000000002</v>
      </c>
      <c r="Q59" s="46">
        <f t="shared" si="4"/>
        <v>-5.1749999999999998</v>
      </c>
      <c r="R59" s="46">
        <f t="shared" si="4"/>
        <v>-5.2469999999999999</v>
      </c>
      <c r="S59" s="46">
        <f t="shared" si="4"/>
        <v>-5.3179999999999996</v>
      </c>
      <c r="T59" s="46">
        <f t="shared" si="4"/>
        <v>-5.3890000000000002</v>
      </c>
      <c r="U59" s="46">
        <f t="shared" si="4"/>
        <v>-5.4580000000000002</v>
      </c>
      <c r="V59" s="46">
        <f t="shared" si="3"/>
        <v>-5.7869999999999999</v>
      </c>
      <c r="W59" s="46">
        <f t="shared" si="3"/>
        <v>-6.3879999999999999</v>
      </c>
      <c r="X59" s="46">
        <f t="shared" si="3"/>
        <v>-6.5250000000000004</v>
      </c>
      <c r="Y59" s="46">
        <f t="shared" si="3"/>
        <v>-6.6580000000000004</v>
      </c>
      <c r="Z59" s="46">
        <f t="shared" si="3"/>
        <v>-6.7869999999999999</v>
      </c>
      <c r="AA59" s="46">
        <f t="shared" si="3"/>
        <v>-6.9109999999999996</v>
      </c>
      <c r="AB59" s="46"/>
      <c r="AC59" s="46"/>
      <c r="AD59" s="46"/>
      <c r="AE59" s="46"/>
      <c r="AF59" s="46"/>
      <c r="AG59" s="46"/>
      <c r="AH59" s="46"/>
      <c r="AI59" s="46"/>
      <c r="AJ59" s="46"/>
    </row>
    <row r="60" spans="1:36" ht="21" hidden="1" customHeight="1" outlineLevel="1" thickBot="1" x14ac:dyDescent="0.4">
      <c r="A60" s="5">
        <f>A16</f>
        <v>1</v>
      </c>
      <c r="B60" s="5">
        <f>B16</f>
        <v>0</v>
      </c>
      <c r="C60" s="5">
        <f>C16</f>
        <v>0</v>
      </c>
      <c r="D60" s="5">
        <f>D16</f>
        <v>0</v>
      </c>
      <c r="E60" s="41" t="str">
        <f>E16</f>
        <v>H(Ar)</v>
      </c>
      <c r="F60" s="46">
        <f t="shared" si="4"/>
        <v>-19.02</v>
      </c>
      <c r="G60" s="46">
        <f t="shared" si="4"/>
        <v>-19.03</v>
      </c>
      <c r="H60" s="46">
        <f t="shared" si="4"/>
        <v>-19.059999999999999</v>
      </c>
      <c r="I60" s="46">
        <f t="shared" si="4"/>
        <v>-19.11</v>
      </c>
      <c r="J60" s="46">
        <f t="shared" si="4"/>
        <v>-19.170000000000002</v>
      </c>
      <c r="K60" s="46">
        <f t="shared" si="4"/>
        <v>-19.23</v>
      </c>
      <c r="L60" s="46">
        <f t="shared" si="4"/>
        <v>-19.3</v>
      </c>
      <c r="M60" s="46">
        <f t="shared" si="4"/>
        <v>-19.07</v>
      </c>
      <c r="N60" s="46">
        <f t="shared" si="4"/>
        <v>-19.03</v>
      </c>
      <c r="O60" s="46">
        <f t="shared" si="4"/>
        <v>-19.309999999999999</v>
      </c>
      <c r="P60" s="46">
        <f t="shared" si="4"/>
        <v>-19.57</v>
      </c>
      <c r="Q60" s="46">
        <f t="shared" si="4"/>
        <v>-19.82</v>
      </c>
      <c r="R60" s="46">
        <f t="shared" si="4"/>
        <v>-19.88</v>
      </c>
      <c r="S60" s="46">
        <f t="shared" si="4"/>
        <v>-19.940000000000001</v>
      </c>
      <c r="T60" s="46">
        <f t="shared" si="4"/>
        <v>-20</v>
      </c>
      <c r="U60" s="46">
        <f t="shared" si="4"/>
        <v>-20.05</v>
      </c>
      <c r="V60" s="46">
        <f t="shared" si="3"/>
        <v>-20.260000000000002</v>
      </c>
      <c r="W60" s="46">
        <f t="shared" si="3"/>
        <v>-20.46</v>
      </c>
      <c r="X60" s="46">
        <f t="shared" si="3"/>
        <v>-20.51</v>
      </c>
      <c r="Y60" s="46">
        <f t="shared" si="3"/>
        <v>-20.56</v>
      </c>
      <c r="Z60" s="46">
        <f t="shared" si="3"/>
        <v>-20.6</v>
      </c>
      <c r="AA60" s="46">
        <f t="shared" si="3"/>
        <v>-20.65</v>
      </c>
      <c r="AB60" s="46"/>
      <c r="AC60" s="46"/>
      <c r="AD60" s="46"/>
      <c r="AE60" s="46"/>
      <c r="AF60" s="46"/>
      <c r="AG60" s="46"/>
      <c r="AH60" s="46"/>
      <c r="AI60" s="46"/>
      <c r="AJ60" s="46"/>
    </row>
    <row r="61" spans="1:36" ht="21" hidden="1" customHeight="1" outlineLevel="1" thickBot="1" x14ac:dyDescent="0.4">
      <c r="A61" s="5">
        <f>A17</f>
        <v>0</v>
      </c>
      <c r="B61" s="5">
        <f>B17</f>
        <v>0</v>
      </c>
      <c r="C61" s="5">
        <f>C17</f>
        <v>0</v>
      </c>
      <c r="D61" s="5">
        <f>D17</f>
        <v>1</v>
      </c>
      <c r="E61" s="41" t="str">
        <f>E17</f>
        <v>H(Ga)</v>
      </c>
      <c r="F61" s="46">
        <f t="shared" si="4"/>
        <v>-60.99</v>
      </c>
      <c r="G61" s="46">
        <f t="shared" si="4"/>
        <v>-55.39</v>
      </c>
      <c r="H61" s="46">
        <f t="shared" si="4"/>
        <v>-48.92</v>
      </c>
      <c r="I61" s="46">
        <f t="shared" si="4"/>
        <v>-42.66</v>
      </c>
      <c r="J61" s="46">
        <f t="shared" si="4"/>
        <v>-37.28</v>
      </c>
      <c r="K61" s="46">
        <f t="shared" si="4"/>
        <v>-32.6</v>
      </c>
      <c r="L61" s="46">
        <f t="shared" si="4"/>
        <v>-28.48</v>
      </c>
      <c r="M61" s="46">
        <f t="shared" si="4"/>
        <v>-25.41</v>
      </c>
      <c r="N61" s="46">
        <f t="shared" si="4"/>
        <v>-26.73</v>
      </c>
      <c r="O61" s="46">
        <f t="shared" si="4"/>
        <v>-31.78</v>
      </c>
      <c r="P61" s="46">
        <f t="shared" si="4"/>
        <v>-36.28</v>
      </c>
      <c r="Q61" s="46">
        <f t="shared" si="4"/>
        <v>-40.049999999999997</v>
      </c>
      <c r="R61" s="46">
        <f t="shared" si="4"/>
        <v>-40.86</v>
      </c>
      <c r="S61" s="46">
        <f t="shared" si="4"/>
        <v>-41.61</v>
      </c>
      <c r="T61" s="46">
        <f t="shared" si="4"/>
        <v>-42.31</v>
      </c>
      <c r="U61" s="46">
        <f t="shared" si="4"/>
        <v>-42.94</v>
      </c>
      <c r="V61" s="46">
        <f t="shared" si="3"/>
        <v>-44.86</v>
      </c>
      <c r="W61" s="46">
        <f t="shared" si="3"/>
        <v>-45.72</v>
      </c>
      <c r="X61" s="46">
        <f t="shared" si="3"/>
        <v>-45.76</v>
      </c>
      <c r="Y61" s="46">
        <f t="shared" si="3"/>
        <v>-45.74</v>
      </c>
      <c r="Z61" s="46">
        <f t="shared" si="3"/>
        <v>-45.64</v>
      </c>
      <c r="AA61" s="46">
        <f t="shared" si="3"/>
        <v>-45.47</v>
      </c>
      <c r="AB61" s="46"/>
      <c r="AC61" s="46"/>
      <c r="AD61" s="46"/>
      <c r="AE61" s="46"/>
      <c r="AF61" s="46"/>
      <c r="AG61" s="46"/>
      <c r="AH61" s="46"/>
      <c r="AI61" s="46"/>
      <c r="AJ61" s="46"/>
    </row>
    <row r="62" spans="1:36" ht="21" hidden="1" customHeight="1" outlineLevel="1" thickBot="1" x14ac:dyDescent="0.4">
      <c r="A62" s="5">
        <f>A18</f>
        <v>0</v>
      </c>
      <c r="B62" s="5">
        <f>B18</f>
        <v>0</v>
      </c>
      <c r="C62" s="5">
        <f>C18</f>
        <v>1</v>
      </c>
      <c r="D62" s="5">
        <f>D18</f>
        <v>0</v>
      </c>
      <c r="E62" s="41" t="str">
        <f>E18</f>
        <v>H(Ge)</v>
      </c>
      <c r="F62" s="46">
        <f t="shared" si="4"/>
        <v>-15.35</v>
      </c>
      <c r="G62" s="46">
        <f t="shared" si="4"/>
        <v>-14.36</v>
      </c>
      <c r="H62" s="46">
        <f t="shared" si="4"/>
        <v>-12.3</v>
      </c>
      <c r="I62" s="46">
        <f t="shared" si="4"/>
        <v>-10.01</v>
      </c>
      <c r="J62" s="46">
        <f t="shared" si="4"/>
        <v>-8.0210000000000008</v>
      </c>
      <c r="K62" s="46">
        <f t="shared" si="4"/>
        <v>-6.28</v>
      </c>
      <c r="L62" s="46">
        <f t="shared" si="4"/>
        <v>-4.7359999999999998</v>
      </c>
      <c r="M62" s="46">
        <f t="shared" si="4"/>
        <v>-4.141</v>
      </c>
      <c r="N62" s="46">
        <f t="shared" si="4"/>
        <v>-4.2229999999999999</v>
      </c>
      <c r="O62" s="46">
        <f t="shared" si="4"/>
        <v>-4.5529999999999999</v>
      </c>
      <c r="P62" s="46">
        <f t="shared" si="4"/>
        <v>-4.8730000000000002</v>
      </c>
      <c r="Q62" s="46">
        <f t="shared" si="4"/>
        <v>-5.1749999999999998</v>
      </c>
      <c r="R62" s="46">
        <f t="shared" si="4"/>
        <v>-5.2469999999999999</v>
      </c>
      <c r="S62" s="46">
        <f t="shared" si="4"/>
        <v>-5.3179999999999996</v>
      </c>
      <c r="T62" s="46">
        <f t="shared" si="4"/>
        <v>-5.3890000000000002</v>
      </c>
      <c r="U62" s="46">
        <f t="shared" si="4"/>
        <v>-5.4580000000000002</v>
      </c>
      <c r="V62" s="46">
        <f t="shared" si="3"/>
        <v>-5.7869999999999999</v>
      </c>
      <c r="W62" s="46">
        <f t="shared" si="3"/>
        <v>-6.3879999999999999</v>
      </c>
      <c r="X62" s="46">
        <f t="shared" si="3"/>
        <v>-6.5250000000000004</v>
      </c>
      <c r="Y62" s="46">
        <f t="shared" ref="V62:AA63" si="5">$A62*Y$16 + $B62*Y$19 + $C62*Y$18 + $D62*Y$17</f>
        <v>-6.6580000000000004</v>
      </c>
      <c r="Z62" s="46">
        <f t="shared" si="5"/>
        <v>-6.7869999999999999</v>
      </c>
      <c r="AA62" s="46">
        <f t="shared" si="5"/>
        <v>-6.9109999999999996</v>
      </c>
      <c r="AB62" s="46"/>
      <c r="AC62" s="46"/>
      <c r="AD62" s="46"/>
      <c r="AE62" s="46"/>
      <c r="AF62" s="46"/>
      <c r="AG62" s="46"/>
      <c r="AH62" s="46"/>
      <c r="AI62" s="46"/>
      <c r="AJ62" s="46"/>
    </row>
    <row r="63" spans="1:36" ht="21" hidden="1" customHeight="1" outlineLevel="1" thickBot="1" x14ac:dyDescent="0.4">
      <c r="A63" s="5">
        <f>A19</f>
        <v>0</v>
      </c>
      <c r="B63" s="5">
        <f>B19</f>
        <v>1</v>
      </c>
      <c r="C63" s="5">
        <f>C19</f>
        <v>0</v>
      </c>
      <c r="D63" s="5">
        <f>D19</f>
        <v>0</v>
      </c>
      <c r="E63" s="41" t="str">
        <f>E19</f>
        <v>H(Se)</v>
      </c>
      <c r="F63" s="46">
        <f t="shared" si="4"/>
        <v>-21.89</v>
      </c>
      <c r="G63" s="46">
        <f t="shared" si="4"/>
        <v>-20.11</v>
      </c>
      <c r="H63" s="46">
        <f t="shared" si="4"/>
        <v>-19.97</v>
      </c>
      <c r="I63" s="46">
        <f t="shared" si="4"/>
        <v>-20.47</v>
      </c>
      <c r="J63" s="46">
        <f t="shared" si="4"/>
        <v>-20.98</v>
      </c>
      <c r="K63" s="46">
        <f t="shared" si="4"/>
        <v>-21.49</v>
      </c>
      <c r="L63" s="46">
        <f t="shared" si="4"/>
        <v>-22.01</v>
      </c>
      <c r="M63" s="46">
        <f t="shared" si="4"/>
        <v>-22.51</v>
      </c>
      <c r="N63" s="46">
        <f t="shared" si="4"/>
        <v>-23.02</v>
      </c>
      <c r="O63" s="46">
        <f t="shared" si="4"/>
        <v>-24.96</v>
      </c>
      <c r="P63" s="46">
        <f t="shared" si="4"/>
        <v>-26.77</v>
      </c>
      <c r="Q63" s="46">
        <f t="shared" si="4"/>
        <v>-28.49</v>
      </c>
      <c r="R63" s="46">
        <f t="shared" si="4"/>
        <v>-28.9</v>
      </c>
      <c r="S63" s="46">
        <f t="shared" si="4"/>
        <v>-29.31</v>
      </c>
      <c r="T63" s="46">
        <f t="shared" si="4"/>
        <v>-29.72</v>
      </c>
      <c r="U63" s="46">
        <f t="shared" si="4"/>
        <v>-30.12</v>
      </c>
      <c r="V63" s="46">
        <f t="shared" si="5"/>
        <v>-31.69</v>
      </c>
      <c r="W63" s="46">
        <f t="shared" si="5"/>
        <v>-33.22</v>
      </c>
      <c r="X63" s="46">
        <f t="shared" si="5"/>
        <v>-33.590000000000003</v>
      </c>
      <c r="Y63" s="46">
        <f t="shared" si="5"/>
        <v>-33.97</v>
      </c>
      <c r="Z63" s="46">
        <f t="shared" si="5"/>
        <v>-34.340000000000003</v>
      </c>
      <c r="AA63" s="46">
        <f t="shared" si="5"/>
        <v>-34.71</v>
      </c>
      <c r="AB63" s="46"/>
      <c r="AC63" s="46"/>
      <c r="AD63" s="46"/>
      <c r="AE63" s="46"/>
      <c r="AF63" s="46"/>
      <c r="AG63" s="46"/>
      <c r="AH63" s="46"/>
      <c r="AI63" s="46"/>
      <c r="AJ63" s="46"/>
    </row>
    <row r="64" spans="1:36" ht="21" hidden="1" customHeight="1" outlineLevel="1" thickBot="1" x14ac:dyDescent="0.4">
      <c r="A64" s="5">
        <f>A20</f>
        <v>0</v>
      </c>
      <c r="B64" s="5">
        <f>B20</f>
        <v>0</v>
      </c>
      <c r="C64" s="5">
        <f>C20</f>
        <v>0</v>
      </c>
      <c r="D64" s="5">
        <f>D20</f>
        <v>0</v>
      </c>
      <c r="E64" s="41">
        <f>E20</f>
        <v>0</v>
      </c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</row>
    <row r="65" spans="1:36" ht="21" hidden="1" customHeight="1" outlineLevel="1" thickBot="1" x14ac:dyDescent="0.4">
      <c r="A65" s="5">
        <f>A21</f>
        <v>0</v>
      </c>
      <c r="B65" s="5">
        <f>B21</f>
        <v>0</v>
      </c>
      <c r="C65" s="5">
        <f>C21</f>
        <v>0</v>
      </c>
      <c r="D65" s="5">
        <f>D21</f>
        <v>0</v>
      </c>
      <c r="E65" s="41">
        <f>E21</f>
        <v>0</v>
      </c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</row>
    <row r="66" spans="1:36" ht="21" hidden="1" customHeight="1" outlineLevel="1" thickBot="1" x14ac:dyDescent="0.4">
      <c r="A66" s="5">
        <f>A22</f>
        <v>0</v>
      </c>
      <c r="B66" s="5">
        <f>B22</f>
        <v>0</v>
      </c>
      <c r="C66" s="5">
        <f>C22</f>
        <v>0</v>
      </c>
      <c r="D66" s="5">
        <f>D22</f>
        <v>0</v>
      </c>
      <c r="E66" s="41">
        <f>E22</f>
        <v>0</v>
      </c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</row>
    <row r="67" spans="1:36" ht="21" hidden="1" customHeight="1" outlineLevel="1" thickBot="1" x14ac:dyDescent="0.4">
      <c r="A67" s="5">
        <f>A23</f>
        <v>0</v>
      </c>
      <c r="B67" s="5">
        <f>B23</f>
        <v>0</v>
      </c>
      <c r="C67" s="5">
        <f>C23</f>
        <v>0</v>
      </c>
      <c r="D67" s="5">
        <f>D23</f>
        <v>0</v>
      </c>
      <c r="E67" s="41">
        <f>E23</f>
        <v>0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</row>
    <row r="68" spans="1:36" ht="21" hidden="1" customHeight="1" outlineLevel="1" thickBot="1" x14ac:dyDescent="0.4">
      <c r="A68" s="5">
        <f>A24</f>
        <v>0</v>
      </c>
      <c r="B68" s="5">
        <f>B24</f>
        <v>0</v>
      </c>
      <c r="C68" s="5">
        <f>C24</f>
        <v>0</v>
      </c>
      <c r="D68" s="5">
        <f>D24</f>
        <v>0</v>
      </c>
      <c r="E68" s="41">
        <f>E24</f>
        <v>0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</row>
    <row r="69" spans="1:36" ht="21" hidden="1" customHeight="1" outlineLevel="1" thickBot="1" x14ac:dyDescent="0.4">
      <c r="A69" s="5">
        <f>A25</f>
        <v>0</v>
      </c>
      <c r="B69" s="5">
        <f>B25</f>
        <v>0</v>
      </c>
      <c r="C69" s="5">
        <f>C25</f>
        <v>0</v>
      </c>
      <c r="D69" s="5">
        <f>D25</f>
        <v>0</v>
      </c>
      <c r="E69" s="41">
        <f>E25</f>
        <v>0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</row>
    <row r="70" spans="1:36" ht="21" hidden="1" customHeight="1" outlineLevel="1" thickBot="1" x14ac:dyDescent="0.4">
      <c r="A70" s="5">
        <f>A26</f>
        <v>0</v>
      </c>
      <c r="B70" s="5">
        <f>B26</f>
        <v>0</v>
      </c>
      <c r="C70" s="5">
        <f>C26</f>
        <v>0</v>
      </c>
      <c r="D70" s="5">
        <f>D26</f>
        <v>0</v>
      </c>
      <c r="E70" s="41">
        <f>E26</f>
        <v>0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</row>
    <row r="71" spans="1:36" ht="21" hidden="1" customHeight="1" outlineLevel="1" thickBot="1" x14ac:dyDescent="0.4">
      <c r="A71" s="5">
        <f>A27</f>
        <v>0</v>
      </c>
      <c r="B71" s="5">
        <f>B27</f>
        <v>0</v>
      </c>
      <c r="C71" s="5">
        <f>C27</f>
        <v>0</v>
      </c>
      <c r="D71" s="5">
        <f>D27</f>
        <v>0</v>
      </c>
      <c r="E71" s="41">
        <f>E27</f>
        <v>0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</row>
    <row r="72" spans="1:36" ht="21" hidden="1" customHeight="1" outlineLevel="1" thickBot="1" x14ac:dyDescent="0.4">
      <c r="A72" s="5">
        <f>A28</f>
        <v>0</v>
      </c>
      <c r="B72" s="5">
        <f>B28</f>
        <v>0</v>
      </c>
      <c r="C72" s="5">
        <f>C28</f>
        <v>0</v>
      </c>
      <c r="D72" s="5">
        <f>D28</f>
        <v>0</v>
      </c>
      <c r="E72" s="41">
        <f>E28</f>
        <v>0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</row>
    <row r="73" spans="1:36" ht="21" hidden="1" customHeight="1" outlineLevel="1" thickBot="1" x14ac:dyDescent="0.4">
      <c r="A73" s="5">
        <f>A29</f>
        <v>0</v>
      </c>
      <c r="B73" s="5">
        <f>B29</f>
        <v>0</v>
      </c>
      <c r="C73" s="5">
        <f>C29</f>
        <v>0</v>
      </c>
      <c r="D73" s="5">
        <f>D29</f>
        <v>0</v>
      </c>
      <c r="E73" s="41">
        <f>E29</f>
        <v>0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</row>
    <row r="74" spans="1:36" ht="21" hidden="1" customHeight="1" outlineLevel="1" thickBot="1" x14ac:dyDescent="0.4">
      <c r="A74" s="5">
        <f>A30</f>
        <v>0</v>
      </c>
      <c r="B74" s="5">
        <f>B30</f>
        <v>0</v>
      </c>
      <c r="C74" s="5">
        <f>C30</f>
        <v>0</v>
      </c>
      <c r="D74" s="5">
        <f>D30</f>
        <v>0</v>
      </c>
      <c r="E74" s="41">
        <f>E30</f>
        <v>0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</row>
    <row r="75" spans="1:36" ht="21" hidden="1" customHeight="1" outlineLevel="1" thickBot="1" x14ac:dyDescent="0.4">
      <c r="A75" s="5">
        <f>A31</f>
        <v>0</v>
      </c>
      <c r="B75" s="5">
        <f>B31</f>
        <v>0</v>
      </c>
      <c r="C75" s="5">
        <f>C31</f>
        <v>0</v>
      </c>
      <c r="D75" s="5">
        <f>D31</f>
        <v>0</v>
      </c>
      <c r="E75" s="41">
        <f>E31</f>
        <v>0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</row>
    <row r="76" spans="1:36" ht="21" hidden="1" customHeight="1" outlineLevel="1" thickBot="1" x14ac:dyDescent="0.4">
      <c r="A76" s="5">
        <f>A32</f>
        <v>0</v>
      </c>
      <c r="B76" s="5">
        <f>B32</f>
        <v>0</v>
      </c>
      <c r="C76" s="5">
        <f>C32</f>
        <v>0</v>
      </c>
      <c r="D76" s="5">
        <f>D32</f>
        <v>0</v>
      </c>
      <c r="E76" s="41">
        <f>E32</f>
        <v>0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</row>
    <row r="77" spans="1:36" ht="21" hidden="1" customHeight="1" outlineLevel="1" thickBot="1" x14ac:dyDescent="0.4">
      <c r="A77" s="5">
        <f>A33</f>
        <v>0</v>
      </c>
      <c r="B77" s="5">
        <f>B33</f>
        <v>0</v>
      </c>
      <c r="C77" s="5">
        <f>C33</f>
        <v>0</v>
      </c>
      <c r="D77" s="5">
        <f>D33</f>
        <v>0</v>
      </c>
      <c r="E77" s="41">
        <f>E33</f>
        <v>1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</row>
    <row r="78" spans="1:36" ht="21" hidden="1" customHeight="1" outlineLevel="1" x14ac:dyDescent="0.35"/>
    <row r="79" spans="1:36" ht="21" customHeight="1" collapsed="1" thickBot="1" x14ac:dyDescent="0.4">
      <c r="W79" s="1"/>
    </row>
    <row r="80" spans="1:36" ht="21" customHeight="1" thickBot="1" x14ac:dyDescent="0.45">
      <c r="A80" s="46"/>
      <c r="B80" s="46"/>
      <c r="C80" s="2">
        <f>E38</f>
        <v>8.3333333333333339</v>
      </c>
      <c r="D80" s="59"/>
      <c r="E80" s="61"/>
      <c r="F80" s="58" t="str">
        <f>ALL!F80</f>
        <v>Относительная  концентрация в данной системе</v>
      </c>
      <c r="G80" s="58"/>
      <c r="H80" s="58"/>
      <c r="I80" s="58"/>
      <c r="J80" s="58"/>
      <c r="K80" s="58"/>
      <c r="L80" s="58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</row>
    <row r="81" spans="1:36" ht="21" hidden="1" customHeight="1" outlineLevel="1" thickTop="1" thickBot="1" x14ac:dyDescent="0.4">
      <c r="A81" s="23" t="s">
        <v>2</v>
      </c>
      <c r="B81" s="7" t="s">
        <v>8</v>
      </c>
      <c r="C81" s="7" t="s">
        <v>9</v>
      </c>
      <c r="D81" s="24" t="s">
        <v>10</v>
      </c>
      <c r="E81" s="36">
        <f t="shared" ref="E81:E111" si="6">E47</f>
        <v>0</v>
      </c>
      <c r="F81" s="36">
        <f>F3</f>
        <v>298.2</v>
      </c>
      <c r="G81" s="36">
        <f>G3</f>
        <v>331.5</v>
      </c>
      <c r="H81" s="36">
        <f>H3</f>
        <v>364.9</v>
      </c>
      <c r="I81" s="36">
        <f>I3</f>
        <v>398.3</v>
      </c>
      <c r="J81" s="36">
        <f>J3</f>
        <v>431.7</v>
      </c>
      <c r="K81" s="36">
        <f>K3</f>
        <v>465.1</v>
      </c>
      <c r="L81" s="36">
        <f>L3</f>
        <v>498.5</v>
      </c>
      <c r="M81" s="36">
        <f>M3</f>
        <v>531.79999999999995</v>
      </c>
      <c r="N81" s="36">
        <f>N3</f>
        <v>565.20000000000005</v>
      </c>
      <c r="O81" s="36">
        <f>O3</f>
        <v>698.8</v>
      </c>
      <c r="P81" s="36">
        <f>P3</f>
        <v>832.3</v>
      </c>
      <c r="Q81" s="36">
        <f>Q3</f>
        <v>965.8</v>
      </c>
      <c r="R81" s="36">
        <f>R3</f>
        <v>999.2</v>
      </c>
      <c r="S81" s="36">
        <f>S3</f>
        <v>1033</v>
      </c>
      <c r="T81" s="36">
        <f>T3</f>
        <v>1066</v>
      </c>
      <c r="U81" s="36">
        <f>U3</f>
        <v>1099</v>
      </c>
      <c r="V81" s="36">
        <f>V3</f>
        <v>1233</v>
      </c>
      <c r="W81" s="36">
        <f>W3</f>
        <v>1366</v>
      </c>
      <c r="X81" s="36">
        <f>X3</f>
        <v>1400</v>
      </c>
      <c r="Y81" s="36">
        <f>Y3</f>
        <v>1433</v>
      </c>
      <c r="Z81" s="36">
        <f>Z3</f>
        <v>1467</v>
      </c>
      <c r="AA81" s="36">
        <f>AA3</f>
        <v>1500</v>
      </c>
      <c r="AB81" s="36"/>
      <c r="AC81" s="36"/>
      <c r="AD81" s="36"/>
      <c r="AE81" s="36"/>
      <c r="AF81" s="36"/>
      <c r="AG81" s="36"/>
      <c r="AH81" s="36"/>
      <c r="AI81" s="36"/>
      <c r="AJ81" s="36"/>
    </row>
    <row r="82" spans="1:36" ht="21" hidden="1" customHeight="1" outlineLevel="1" thickTop="1" thickBot="1" x14ac:dyDescent="0.4">
      <c r="A82" s="5">
        <f t="shared" ref="A82:D111" si="7">A48</f>
        <v>0</v>
      </c>
      <c r="B82" s="5">
        <f t="shared" si="7"/>
        <v>0</v>
      </c>
      <c r="C82" s="5">
        <f t="shared" si="7"/>
        <v>1</v>
      </c>
      <c r="D82" s="5">
        <f t="shared" si="7"/>
        <v>0</v>
      </c>
      <c r="E82" s="41" t="str">
        <f t="shared" si="6"/>
        <v>*Ge[l]</v>
      </c>
      <c r="F82" s="46">
        <f>F4*$C$80</f>
        <v>0</v>
      </c>
      <c r="G82" s="46">
        <f>G4*$C$80</f>
        <v>0</v>
      </c>
      <c r="H82" s="46">
        <f>H4*$C$80</f>
        <v>0</v>
      </c>
      <c r="I82" s="46">
        <f>I4*$C$80</f>
        <v>0</v>
      </c>
      <c r="J82" s="46">
        <f>J4*$C$80</f>
        <v>0</v>
      </c>
      <c r="K82" s="46">
        <f>K4*$C$80</f>
        <v>0</v>
      </c>
      <c r="L82" s="46">
        <f>L4*$C$80</f>
        <v>0</v>
      </c>
      <c r="M82" s="46">
        <f>M4*$C$80</f>
        <v>0</v>
      </c>
      <c r="N82" s="46">
        <f>N4*$C$80</f>
        <v>4.5386666666666667E-23</v>
      </c>
      <c r="O82" s="46">
        <f>O4*$C$80</f>
        <v>2.2605000000000003E-12</v>
      </c>
      <c r="P82" s="46">
        <f>P4*$C$80</f>
        <v>3.6087500000000001E-10</v>
      </c>
      <c r="Q82" s="46">
        <f>Q4*$C$80</f>
        <v>1.1971666666666667E-8</v>
      </c>
      <c r="R82" s="46">
        <f>R4*$C$80</f>
        <v>2.0710833333333335E-8</v>
      </c>
      <c r="S82" s="46">
        <f>S4*$C$80</f>
        <v>3.7360833333333335E-8</v>
      </c>
      <c r="T82" s="46">
        <f>T4*$C$80</f>
        <v>9.8875000000000017E-8</v>
      </c>
      <c r="U82" s="46">
        <f>U4*$C$80</f>
        <v>2.4500833333333334E-7</v>
      </c>
      <c r="V82" s="46">
        <f>V4*$C$80</f>
        <v>0.49995000000000001</v>
      </c>
      <c r="W82" s="46">
        <f>W4*$C$80</f>
        <v>0.5</v>
      </c>
      <c r="X82" s="46">
        <f>X4*$C$80</f>
        <v>0.5</v>
      </c>
      <c r="Y82" s="46">
        <f>Y4*$C$80</f>
        <v>0.5</v>
      </c>
      <c r="Z82" s="46">
        <f>Z4*$C$80</f>
        <v>0.5</v>
      </c>
      <c r="AA82" s="46">
        <f>AA4*$C$80</f>
        <v>0.5</v>
      </c>
      <c r="AB82" s="46"/>
      <c r="AC82" s="46"/>
      <c r="AD82" s="46"/>
      <c r="AE82" s="46"/>
      <c r="AF82" s="46"/>
      <c r="AG82" s="46"/>
      <c r="AH82" s="46"/>
      <c r="AI82" s="46"/>
      <c r="AJ82" s="46"/>
    </row>
    <row r="83" spans="1:36" ht="21" hidden="1" customHeight="1" outlineLevel="1" thickBot="1" x14ac:dyDescent="0.4">
      <c r="A83" s="5">
        <f t="shared" si="7"/>
        <v>0</v>
      </c>
      <c r="B83" s="5">
        <f t="shared" si="7"/>
        <v>0</v>
      </c>
      <c r="C83" s="5">
        <f t="shared" si="7"/>
        <v>1</v>
      </c>
      <c r="D83" s="5">
        <f t="shared" si="7"/>
        <v>0</v>
      </c>
      <c r="E83" s="41" t="str">
        <f t="shared" si="6"/>
        <v>*Ge</v>
      </c>
      <c r="F83" s="46">
        <f>F5*$C$80</f>
        <v>0</v>
      </c>
      <c r="G83" s="46">
        <f>G5*$C$80</f>
        <v>0</v>
      </c>
      <c r="H83" s="46">
        <f>H5*$C$80</f>
        <v>0</v>
      </c>
      <c r="I83" s="46">
        <f>I5*$C$80</f>
        <v>2.0295833333333334E-23</v>
      </c>
      <c r="J83" s="46">
        <f>J5*$C$80</f>
        <v>8.2242500000000018E-15</v>
      </c>
      <c r="K83" s="46">
        <f>K5*$C$80</f>
        <v>1.6101666666666666E-10</v>
      </c>
      <c r="L83" s="46">
        <f>L5*$C$80</f>
        <v>3.8133333333333337E-8</v>
      </c>
      <c r="M83" s="46">
        <f>M5*$C$80</f>
        <v>0.5</v>
      </c>
      <c r="N83" s="46">
        <f>N5*$C$80</f>
        <v>0.5</v>
      </c>
      <c r="O83" s="46">
        <f>O5*$C$80</f>
        <v>0.5</v>
      </c>
      <c r="P83" s="46">
        <f>P5*$C$80</f>
        <v>0.5</v>
      </c>
      <c r="Q83" s="46">
        <f>Q5*$C$80</f>
        <v>0.5</v>
      </c>
      <c r="R83" s="46">
        <f>R5*$C$80</f>
        <v>0.5</v>
      </c>
      <c r="S83" s="46">
        <f>S5*$C$80</f>
        <v>0.5</v>
      </c>
      <c r="T83" s="46">
        <f>T5*$C$80</f>
        <v>0.5</v>
      </c>
      <c r="U83" s="46">
        <f>U5*$C$80</f>
        <v>0.5</v>
      </c>
      <c r="V83" s="46">
        <f>V5*$C$80</f>
        <v>4.9101666666666671E-5</v>
      </c>
      <c r="W83" s="46">
        <f>W5*$C$80</f>
        <v>1.6452500000000003E-7</v>
      </c>
      <c r="X83" s="46">
        <f>X5*$C$80</f>
        <v>1.2127500000000001E-7</v>
      </c>
      <c r="Y83" s="46">
        <f>Y5*$C$80</f>
        <v>6.8465833333333341E-8</v>
      </c>
      <c r="Z83" s="46">
        <f>Z5*$C$80</f>
        <v>6.5566666666666665E-8</v>
      </c>
      <c r="AA83" s="46">
        <f>AA5*$C$80</f>
        <v>5.0708333333333342E-8</v>
      </c>
      <c r="AB83" s="46"/>
      <c r="AC83" s="46"/>
      <c r="AD83" s="46"/>
      <c r="AE83" s="46"/>
      <c r="AF83" s="46"/>
      <c r="AG83" s="46"/>
      <c r="AH83" s="46"/>
      <c r="AI83" s="46"/>
      <c r="AJ83" s="46"/>
    </row>
    <row r="84" spans="1:36" ht="21" hidden="1" customHeight="1" outlineLevel="1" thickBot="1" x14ac:dyDescent="0.4">
      <c r="A84" s="5">
        <f t="shared" si="7"/>
        <v>0</v>
      </c>
      <c r="B84" s="5">
        <f t="shared" si="7"/>
        <v>1</v>
      </c>
      <c r="C84" s="5">
        <f t="shared" si="7"/>
        <v>1</v>
      </c>
      <c r="D84" s="5">
        <f t="shared" si="7"/>
        <v>0</v>
      </c>
      <c r="E84" s="41" t="str">
        <f t="shared" si="6"/>
        <v>*GeSe</v>
      </c>
      <c r="F84" s="46">
        <f>F6*$C$80</f>
        <v>0.5</v>
      </c>
      <c r="G84" s="46">
        <f>G6*$C$80</f>
        <v>0.5</v>
      </c>
      <c r="H84" s="46">
        <f>H6*$C$80</f>
        <v>1</v>
      </c>
      <c r="I84" s="46">
        <f>I6*$C$80</f>
        <v>1</v>
      </c>
      <c r="J84" s="46">
        <f>J6*$C$80</f>
        <v>1</v>
      </c>
      <c r="K84" s="46">
        <f>K6*$C$80</f>
        <v>1</v>
      </c>
      <c r="L84" s="46">
        <f>L6*$C$80</f>
        <v>1</v>
      </c>
      <c r="M84" s="46">
        <f>M6*$C$80</f>
        <v>7.0004166666666667E-8</v>
      </c>
      <c r="N84" s="46">
        <f>N6*$C$80</f>
        <v>6.7773333333333339E-10</v>
      </c>
      <c r="O84" s="46">
        <f>O6*$C$80</f>
        <v>6.0457500000000001E-25</v>
      </c>
      <c r="P84" s="46">
        <f>P6*$C$80</f>
        <v>0</v>
      </c>
      <c r="Q84" s="46">
        <f>Q6*$C$80</f>
        <v>0</v>
      </c>
      <c r="R84" s="46">
        <f>R6*$C$80</f>
        <v>0</v>
      </c>
      <c r="S84" s="46">
        <f>S6*$C$80</f>
        <v>0</v>
      </c>
      <c r="T84" s="46">
        <f>T6*$C$80</f>
        <v>0</v>
      </c>
      <c r="U84" s="46">
        <f>U6*$C$80</f>
        <v>0</v>
      </c>
      <c r="V84" s="46">
        <f>V6*$C$80</f>
        <v>0</v>
      </c>
      <c r="W84" s="46">
        <f>W6*$C$80</f>
        <v>0</v>
      </c>
      <c r="X84" s="46">
        <f>X6*$C$80</f>
        <v>0</v>
      </c>
      <c r="Y84" s="46">
        <f>Y6*$C$80</f>
        <v>0</v>
      </c>
      <c r="Z84" s="46">
        <f>Z6*$C$80</f>
        <v>0</v>
      </c>
      <c r="AA84" s="46">
        <f>AA6*$C$80</f>
        <v>0</v>
      </c>
      <c r="AB84" s="46"/>
      <c r="AC84" s="46"/>
      <c r="AD84" s="46"/>
      <c r="AE84" s="46"/>
      <c r="AF84" s="46"/>
      <c r="AG84" s="46"/>
      <c r="AH84" s="46"/>
      <c r="AI84" s="46"/>
      <c r="AJ84" s="46"/>
    </row>
    <row r="85" spans="1:36" ht="21" hidden="1" customHeight="1" outlineLevel="1" thickBot="1" x14ac:dyDescent="0.4">
      <c r="A85" s="5">
        <f t="shared" si="7"/>
        <v>0</v>
      </c>
      <c r="B85" s="5">
        <f t="shared" si="7"/>
        <v>0</v>
      </c>
      <c r="C85" s="5">
        <f t="shared" si="7"/>
        <v>0</v>
      </c>
      <c r="D85" s="5">
        <f t="shared" si="7"/>
        <v>1</v>
      </c>
      <c r="E85" s="41" t="str">
        <f t="shared" si="6"/>
        <v>*Ga</v>
      </c>
      <c r="F85" s="46">
        <f>F7*$C$80</f>
        <v>0</v>
      </c>
      <c r="G85" s="46">
        <f>G7*$C$80</f>
        <v>0</v>
      </c>
      <c r="H85" s="46">
        <f>H7*$C$80</f>
        <v>0</v>
      </c>
      <c r="I85" s="46">
        <f>I7*$C$80</f>
        <v>0</v>
      </c>
      <c r="J85" s="46">
        <f>J7*$C$80</f>
        <v>0</v>
      </c>
      <c r="K85" s="46">
        <f>K7*$C$80</f>
        <v>0</v>
      </c>
      <c r="L85" s="46">
        <f>L7*$C$80</f>
        <v>0</v>
      </c>
      <c r="M85" s="46">
        <f>M7*$C$80</f>
        <v>1.2927500000000001</v>
      </c>
      <c r="N85" s="46">
        <f>N7*$C$80</f>
        <v>1.666666666666667</v>
      </c>
      <c r="O85" s="46">
        <f>O7*$C$80</f>
        <v>1.666666666666667</v>
      </c>
      <c r="P85" s="46">
        <f>P7*$C$80</f>
        <v>1.666666666666667</v>
      </c>
      <c r="Q85" s="46">
        <f>Q7*$C$80</f>
        <v>1.666666666666667</v>
      </c>
      <c r="R85" s="46">
        <f>R7*$C$80</f>
        <v>1.666666666666667</v>
      </c>
      <c r="S85" s="46">
        <f>S7*$C$80</f>
        <v>1.666666666666667</v>
      </c>
      <c r="T85" s="46">
        <f>T7*$C$80</f>
        <v>1.666666666666667</v>
      </c>
      <c r="U85" s="46">
        <f>U7*$C$80</f>
        <v>1.666666666666667</v>
      </c>
      <c r="V85" s="46">
        <f>V7*$C$80</f>
        <v>1.666666666666667</v>
      </c>
      <c r="W85" s="46">
        <f>W7*$C$80</f>
        <v>1.666666666666667</v>
      </c>
      <c r="X85" s="46">
        <f>X7*$C$80</f>
        <v>1.666666666666667</v>
      </c>
      <c r="Y85" s="46">
        <f>Y7*$C$80</f>
        <v>1.666666666666667</v>
      </c>
      <c r="Z85" s="46">
        <f>Z7*$C$80</f>
        <v>1.666666666666667</v>
      </c>
      <c r="AA85" s="46">
        <f>AA7*$C$80</f>
        <v>1.666666666666667</v>
      </c>
      <c r="AB85" s="46"/>
      <c r="AC85" s="46"/>
      <c r="AD85" s="46"/>
      <c r="AE85" s="46"/>
      <c r="AF85" s="46"/>
      <c r="AG85" s="46"/>
      <c r="AH85" s="46"/>
      <c r="AI85" s="46"/>
      <c r="AJ85" s="46"/>
    </row>
    <row r="86" spans="1:36" ht="21" hidden="1" customHeight="1" outlineLevel="1" thickBot="1" x14ac:dyDescent="0.4">
      <c r="A86" s="5">
        <f t="shared" si="7"/>
        <v>0</v>
      </c>
      <c r="B86" s="5">
        <f t="shared" si="7"/>
        <v>0</v>
      </c>
      <c r="C86" s="5">
        <f t="shared" si="7"/>
        <v>1</v>
      </c>
      <c r="D86" s="5">
        <f t="shared" si="7"/>
        <v>0</v>
      </c>
      <c r="E86" s="41" t="str">
        <f t="shared" si="6"/>
        <v>*Ge[c]</v>
      </c>
      <c r="F86" s="46">
        <f>F8*$C$80</f>
        <v>0</v>
      </c>
      <c r="G86" s="46">
        <f>G8*$C$80</f>
        <v>0</v>
      </c>
      <c r="H86" s="46">
        <f>H8*$C$80</f>
        <v>0</v>
      </c>
      <c r="I86" s="46">
        <f>I8*$C$80</f>
        <v>2.0295833333333334E-23</v>
      </c>
      <c r="J86" s="46">
        <f>J8*$C$80</f>
        <v>8.2242500000000018E-15</v>
      </c>
      <c r="K86" s="46">
        <f>K8*$C$80</f>
        <v>1.6101666666666666E-10</v>
      </c>
      <c r="L86" s="46">
        <f>L8*$C$80</f>
        <v>3.8133333333333337E-8</v>
      </c>
      <c r="M86" s="46">
        <f>M8*$C$80</f>
        <v>0.5</v>
      </c>
      <c r="N86" s="46">
        <f>N8*$C$80</f>
        <v>0.5</v>
      </c>
      <c r="O86" s="46">
        <f>O8*$C$80</f>
        <v>0.5</v>
      </c>
      <c r="P86" s="46">
        <f>P8*$C$80</f>
        <v>0.5</v>
      </c>
      <c r="Q86" s="46">
        <f>Q8*$C$80</f>
        <v>0.5</v>
      </c>
      <c r="R86" s="46">
        <f>R8*$C$80</f>
        <v>0.5</v>
      </c>
      <c r="S86" s="46">
        <f>S8*$C$80</f>
        <v>0.5</v>
      </c>
      <c r="T86" s="46">
        <f>T8*$C$80</f>
        <v>0.5</v>
      </c>
      <c r="U86" s="46">
        <f>U8*$C$80</f>
        <v>0.5</v>
      </c>
      <c r="V86" s="46">
        <f>V8*$C$80</f>
        <v>4.9101666666666671E-5</v>
      </c>
      <c r="W86" s="46">
        <f>W8*$C$80</f>
        <v>1.6452500000000003E-7</v>
      </c>
      <c r="X86" s="46">
        <f>X8*$C$80</f>
        <v>1.2127500000000001E-7</v>
      </c>
      <c r="Y86" s="46">
        <f>Y8*$C$80</f>
        <v>6.8465833333333341E-8</v>
      </c>
      <c r="Z86" s="46">
        <f>Z8*$C$80</f>
        <v>6.5566666666666665E-8</v>
      </c>
      <c r="AA86" s="46">
        <f>AA8*$C$80</f>
        <v>5.0708333333333342E-8</v>
      </c>
      <c r="AB86" s="46"/>
      <c r="AC86" s="46"/>
      <c r="AD86" s="46"/>
      <c r="AE86" s="46"/>
      <c r="AF86" s="46"/>
      <c r="AG86" s="46"/>
      <c r="AH86" s="46"/>
      <c r="AI86" s="46"/>
      <c r="AJ86" s="46"/>
    </row>
    <row r="87" spans="1:36" ht="21" hidden="1" customHeight="1" outlineLevel="1" thickBot="1" x14ac:dyDescent="0.4">
      <c r="A87" s="5">
        <f t="shared" si="7"/>
        <v>0</v>
      </c>
      <c r="B87" s="5">
        <f t="shared" si="7"/>
        <v>1</v>
      </c>
      <c r="C87" s="5">
        <f t="shared" si="7"/>
        <v>0</v>
      </c>
      <c r="D87" s="5">
        <f t="shared" si="7"/>
        <v>0</v>
      </c>
      <c r="E87" s="41" t="str">
        <f t="shared" si="6"/>
        <v>*Se[m]</v>
      </c>
      <c r="F87" s="46">
        <f>F9*$C$80</f>
        <v>7.2607500000000001E-14</v>
      </c>
      <c r="G87" s="46">
        <f>G9*$C$80</f>
        <v>8.212166666666667E-8</v>
      </c>
      <c r="H87" s="46">
        <f>H9*$C$80</f>
        <v>0.5</v>
      </c>
      <c r="I87" s="46">
        <f>I9*$C$80</f>
        <v>0.5</v>
      </c>
      <c r="J87" s="46">
        <f>J9*$C$80</f>
        <v>0.5</v>
      </c>
      <c r="K87" s="46">
        <f>K9*$C$80</f>
        <v>0.5</v>
      </c>
      <c r="L87" s="46">
        <f>L9*$C$80</f>
        <v>0.5</v>
      </c>
      <c r="M87" s="46">
        <f>M9*$C$80</f>
        <v>3.4391666666666669</v>
      </c>
      <c r="N87" s="46">
        <f>N9*$C$80</f>
        <v>3.999916666666667</v>
      </c>
      <c r="O87" s="46">
        <f>O9*$C$80</f>
        <v>4</v>
      </c>
      <c r="P87" s="46">
        <f>P9*$C$80</f>
        <v>4</v>
      </c>
      <c r="Q87" s="46">
        <f>Q9*$C$80</f>
        <v>4</v>
      </c>
      <c r="R87" s="46">
        <f>R9*$C$80</f>
        <v>4</v>
      </c>
      <c r="S87" s="46">
        <f>S9*$C$80</f>
        <v>4</v>
      </c>
      <c r="T87" s="46">
        <f>T9*$C$80</f>
        <v>4</v>
      </c>
      <c r="U87" s="46">
        <f>U9*$C$80</f>
        <v>4</v>
      </c>
      <c r="V87" s="46">
        <f>V9*$C$80</f>
        <v>4</v>
      </c>
      <c r="W87" s="46">
        <f>W9*$C$80</f>
        <v>4</v>
      </c>
      <c r="X87" s="46">
        <f>X9*$C$80</f>
        <v>4</v>
      </c>
      <c r="Y87" s="46">
        <f>Y9*$C$80</f>
        <v>4</v>
      </c>
      <c r="Z87" s="46">
        <f>Z9*$C$80</f>
        <v>4</v>
      </c>
      <c r="AA87" s="46">
        <f>AA9*$C$80</f>
        <v>4</v>
      </c>
      <c r="AB87" s="46"/>
      <c r="AC87" s="46"/>
      <c r="AD87" s="46"/>
      <c r="AE87" s="46"/>
      <c r="AF87" s="46"/>
      <c r="AG87" s="46"/>
      <c r="AH87" s="46"/>
      <c r="AI87" s="46"/>
      <c r="AJ87" s="46"/>
    </row>
    <row r="88" spans="1:36" ht="21" hidden="1" customHeight="1" outlineLevel="1" thickBot="1" x14ac:dyDescent="0.4">
      <c r="A88" s="5">
        <f t="shared" si="7"/>
        <v>0</v>
      </c>
      <c r="B88" s="5">
        <f t="shared" si="7"/>
        <v>2</v>
      </c>
      <c r="C88" s="5">
        <f t="shared" si="7"/>
        <v>1</v>
      </c>
      <c r="D88" s="5">
        <f t="shared" si="7"/>
        <v>0</v>
      </c>
      <c r="E88" s="41" t="str">
        <f t="shared" si="6"/>
        <v>*GeSe2</v>
      </c>
      <c r="F88" s="46">
        <f>F10*$C$80</f>
        <v>0.5</v>
      </c>
      <c r="G88" s="46">
        <f>G10*$C$80</f>
        <v>0.5</v>
      </c>
      <c r="H88" s="46">
        <f>H10*$C$80</f>
        <v>3.0980000000000003E-9</v>
      </c>
      <c r="I88" s="46">
        <f>I10*$C$80</f>
        <v>3.0569166666666668E-11</v>
      </c>
      <c r="J88" s="46">
        <f>J10*$C$80</f>
        <v>1.8156666666666669E-16</v>
      </c>
      <c r="K88" s="46">
        <f>K10*$C$80</f>
        <v>1.6450000000000002E-28</v>
      </c>
      <c r="L88" s="46">
        <f>L10*$C$80</f>
        <v>0</v>
      </c>
      <c r="M88" s="46">
        <f>M10*$C$80</f>
        <v>0</v>
      </c>
      <c r="N88" s="46">
        <f>N10*$C$80</f>
        <v>0</v>
      </c>
      <c r="O88" s="46">
        <f>O10*$C$80</f>
        <v>0</v>
      </c>
      <c r="P88" s="46">
        <f>P10*$C$80</f>
        <v>0</v>
      </c>
      <c r="Q88" s="46">
        <f>Q10*$C$80</f>
        <v>0</v>
      </c>
      <c r="R88" s="46">
        <f>R10*$C$80</f>
        <v>0</v>
      </c>
      <c r="S88" s="46">
        <f>S10*$C$80</f>
        <v>0</v>
      </c>
      <c r="T88" s="46">
        <f>T10*$C$80</f>
        <v>0</v>
      </c>
      <c r="U88" s="46">
        <f>U10*$C$80</f>
        <v>0</v>
      </c>
      <c r="V88" s="46">
        <f>V10*$C$80</f>
        <v>0</v>
      </c>
      <c r="W88" s="46">
        <f>W10*$C$80</f>
        <v>0</v>
      </c>
      <c r="X88" s="46">
        <f>X10*$C$80</f>
        <v>0</v>
      </c>
      <c r="Y88" s="46">
        <f>Y10*$C$80</f>
        <v>0</v>
      </c>
      <c r="Z88" s="46">
        <f>Z10*$C$80</f>
        <v>0</v>
      </c>
      <c r="AA88" s="46">
        <f>AA10*$C$80</f>
        <v>0</v>
      </c>
      <c r="AB88" s="46"/>
      <c r="AC88" s="46"/>
      <c r="AD88" s="46"/>
      <c r="AE88" s="46"/>
      <c r="AF88" s="46"/>
      <c r="AG88" s="46"/>
      <c r="AH88" s="46"/>
      <c r="AI88" s="46"/>
      <c r="AJ88" s="46"/>
    </row>
    <row r="89" spans="1:36" ht="21" hidden="1" customHeight="1" outlineLevel="1" thickBot="1" x14ac:dyDescent="0.4">
      <c r="A89" s="5">
        <f t="shared" si="7"/>
        <v>0</v>
      </c>
      <c r="B89" s="5">
        <f t="shared" si="7"/>
        <v>3</v>
      </c>
      <c r="C89" s="5">
        <f t="shared" si="7"/>
        <v>0</v>
      </c>
      <c r="D89" s="5">
        <f t="shared" si="7"/>
        <v>2</v>
      </c>
      <c r="E89" s="41" t="str">
        <f t="shared" si="6"/>
        <v>Ga2Se3</v>
      </c>
      <c r="F89" s="46">
        <f>F11*$C$80</f>
        <v>0.83333333333333348</v>
      </c>
      <c r="G89" s="46">
        <f>G11*$C$80</f>
        <v>0.83333333333333348</v>
      </c>
      <c r="H89" s="46">
        <f>H11*$C$80</f>
        <v>0.83333333333333348</v>
      </c>
      <c r="I89" s="46">
        <f>I11*$C$80</f>
        <v>0.83333333333333348</v>
      </c>
      <c r="J89" s="46">
        <f>J11*$C$80</f>
        <v>0.83333333333333348</v>
      </c>
      <c r="K89" s="46">
        <f>K11*$C$80</f>
        <v>0.83333333333333348</v>
      </c>
      <c r="L89" s="46">
        <f>L11*$C$80</f>
        <v>0.83333333333333348</v>
      </c>
      <c r="M89" s="46">
        <f>M11*$C$80</f>
        <v>0.1869416666666667</v>
      </c>
      <c r="N89" s="46">
        <f>N11*$C$80</f>
        <v>1.6968333333333335E-5</v>
      </c>
      <c r="O89" s="46">
        <f>O11*$C$80</f>
        <v>6.4800833333333341E-19</v>
      </c>
      <c r="P89" s="46">
        <f>P11*$C$80</f>
        <v>2.0922500000000002E-29</v>
      </c>
      <c r="Q89" s="46">
        <f>Q11*$C$80</f>
        <v>0</v>
      </c>
      <c r="R89" s="46">
        <f>R11*$C$80</f>
        <v>0</v>
      </c>
      <c r="S89" s="46">
        <f>S11*$C$80</f>
        <v>0</v>
      </c>
      <c r="T89" s="46">
        <f>T11*$C$80</f>
        <v>0</v>
      </c>
      <c r="U89" s="46">
        <f>U11*$C$80</f>
        <v>0</v>
      </c>
      <c r="V89" s="46">
        <f>V11*$C$80</f>
        <v>0</v>
      </c>
      <c r="W89" s="46">
        <f>W11*$C$80</f>
        <v>0</v>
      </c>
      <c r="X89" s="46">
        <f>X11*$C$80</f>
        <v>0</v>
      </c>
      <c r="Y89" s="46">
        <f>Y11*$C$80</f>
        <v>0</v>
      </c>
      <c r="Z89" s="46">
        <f>Z11*$C$80</f>
        <v>0</v>
      </c>
      <c r="AA89" s="46">
        <f>AA11*$C$80</f>
        <v>0</v>
      </c>
      <c r="AB89" s="46"/>
      <c r="AC89" s="46"/>
      <c r="AD89" s="46"/>
      <c r="AE89" s="46"/>
      <c r="AF89" s="46"/>
      <c r="AG89" s="46"/>
      <c r="AH89" s="46"/>
      <c r="AI89" s="46"/>
      <c r="AJ89" s="46"/>
    </row>
    <row r="90" spans="1:36" ht="21" hidden="1" customHeight="1" outlineLevel="1" thickBot="1" x14ac:dyDescent="0.4">
      <c r="A90" s="5">
        <f t="shared" si="7"/>
        <v>0</v>
      </c>
      <c r="B90" s="5">
        <f t="shared" si="7"/>
        <v>0</v>
      </c>
      <c r="C90" s="5">
        <f t="shared" si="7"/>
        <v>2</v>
      </c>
      <c r="D90" s="5">
        <f t="shared" si="7"/>
        <v>0</v>
      </c>
      <c r="E90" s="41" t="str">
        <f t="shared" si="6"/>
        <v>Ge2</v>
      </c>
      <c r="F90" s="46">
        <f>F12*$C$80</f>
        <v>0</v>
      </c>
      <c r="G90" s="46">
        <f>G12*$C$80</f>
        <v>0</v>
      </c>
      <c r="H90" s="46">
        <f>H12*$C$80</f>
        <v>0</v>
      </c>
      <c r="I90" s="46">
        <f>I12*$C$80</f>
        <v>0</v>
      </c>
      <c r="J90" s="46">
        <f>J12*$C$80</f>
        <v>0</v>
      </c>
      <c r="K90" s="46">
        <f>K12*$C$80</f>
        <v>0</v>
      </c>
      <c r="L90" s="46">
        <f>L12*$C$80</f>
        <v>0</v>
      </c>
      <c r="M90" s="46">
        <f>M12*$C$80</f>
        <v>0</v>
      </c>
      <c r="N90" s="46">
        <f>N12*$C$80</f>
        <v>3.4659166666666666E-35</v>
      </c>
      <c r="O90" s="46">
        <f>O12*$C$80</f>
        <v>1.1382500000000001E-26</v>
      </c>
      <c r="P90" s="46">
        <f>P12*$C$80</f>
        <v>6.6835833333333341E-21</v>
      </c>
      <c r="Q90" s="46">
        <f>Q12*$C$80</f>
        <v>9.6708333333333335E-17</v>
      </c>
      <c r="R90" s="46">
        <f>R12*$C$80</f>
        <v>7.0775833333333342E-16</v>
      </c>
      <c r="S90" s="46">
        <f>S12*$C$80</f>
        <v>4.5462500000000001E-15</v>
      </c>
      <c r="T90" s="46">
        <f>T12*$C$80</f>
        <v>2.5948333333333333E-14</v>
      </c>
      <c r="U90" s="46">
        <f>U12*$C$80</f>
        <v>1.3302500000000001E-13</v>
      </c>
      <c r="V90" s="46">
        <f>V12*$C$80</f>
        <v>3.2892499999999998E-11</v>
      </c>
      <c r="W90" s="46">
        <f>W12*$C$80</f>
        <v>1.4873333333333334E-9</v>
      </c>
      <c r="X90" s="46">
        <f>X12*$C$80</f>
        <v>3.4333333333333339E-9</v>
      </c>
      <c r="Y90" s="46">
        <f>Y12*$C$80</f>
        <v>7.6145833333333341E-9</v>
      </c>
      <c r="Z90" s="46">
        <f>Z12*$C$80</f>
        <v>1.6270833333333336E-8</v>
      </c>
      <c r="AA90" s="46">
        <f>AA12*$C$80</f>
        <v>3.3580000000000007E-8</v>
      </c>
      <c r="AB90" s="46"/>
      <c r="AC90" s="46"/>
      <c r="AD90" s="46"/>
      <c r="AE90" s="46"/>
      <c r="AF90" s="46"/>
      <c r="AG90" s="46"/>
      <c r="AH90" s="46"/>
      <c r="AI90" s="46"/>
      <c r="AJ90" s="46"/>
    </row>
    <row r="91" spans="1:36" ht="21" hidden="1" customHeight="1" outlineLevel="1" thickBot="1" x14ac:dyDescent="0.4">
      <c r="A91" s="5">
        <f t="shared" si="7"/>
        <v>0</v>
      </c>
      <c r="B91" s="5">
        <f t="shared" si="7"/>
        <v>0</v>
      </c>
      <c r="C91" s="5">
        <f t="shared" si="7"/>
        <v>1</v>
      </c>
      <c r="D91" s="5">
        <f t="shared" si="7"/>
        <v>0</v>
      </c>
      <c r="E91" s="41" t="str">
        <f t="shared" si="6"/>
        <v>Ge</v>
      </c>
      <c r="F91" s="46">
        <f>F13*$C$80</f>
        <v>0</v>
      </c>
      <c r="G91" s="46">
        <f>G13*$C$80</f>
        <v>0</v>
      </c>
      <c r="H91" s="46">
        <f>H13*$C$80</f>
        <v>0</v>
      </c>
      <c r="I91" s="46">
        <f>I13*$C$80</f>
        <v>0</v>
      </c>
      <c r="J91" s="46">
        <f>J13*$C$80</f>
        <v>0</v>
      </c>
      <c r="K91" s="46">
        <f>K13*$C$80</f>
        <v>0</v>
      </c>
      <c r="L91" s="46">
        <f>L13*$C$80</f>
        <v>2.1125000000000003E-32</v>
      </c>
      <c r="M91" s="46">
        <f>M13*$C$80</f>
        <v>8.7649999999999997E-30</v>
      </c>
      <c r="N91" s="46">
        <f>N13*$C$80</f>
        <v>1.1552500000000001E-27</v>
      </c>
      <c r="O91" s="46">
        <f>O13*$C$80</f>
        <v>4.5978333333333336E-21</v>
      </c>
      <c r="P91" s="46">
        <f>P13*$C$80</f>
        <v>1.4071666666666667E-16</v>
      </c>
      <c r="Q91" s="46">
        <f>Q13*$C$80</f>
        <v>2.4789166666666669E-13</v>
      </c>
      <c r="R91" s="46">
        <f>R13*$C$80</f>
        <v>1.1750000000000001E-12</v>
      </c>
      <c r="S91" s="46">
        <f>S13*$C$80</f>
        <v>5.0355833333333335E-12</v>
      </c>
      <c r="T91" s="46">
        <f>T13*$C$80</f>
        <v>1.9695833333333336E-11</v>
      </c>
      <c r="U91" s="46">
        <f>U13*$C$80</f>
        <v>7.0894166666666668E-11</v>
      </c>
      <c r="V91" s="46">
        <f>V13*$C$80</f>
        <v>5.5629166666666676E-9</v>
      </c>
      <c r="W91" s="46">
        <f>W13*$C$80</f>
        <v>1.3705000000000003E-7</v>
      </c>
      <c r="X91" s="46">
        <f>X13*$C$80</f>
        <v>2.7732500000000003E-7</v>
      </c>
      <c r="Y91" s="46">
        <f>Y13*$C$80</f>
        <v>5.4290833333333338E-7</v>
      </c>
      <c r="Z91" s="46">
        <f>Z13*$C$80</f>
        <v>1.0305833333333334E-6</v>
      </c>
      <c r="AA91" s="46">
        <f>AA13*$C$80</f>
        <v>1.9006666666666667E-6</v>
      </c>
      <c r="AB91" s="46"/>
      <c r="AC91" s="46"/>
      <c r="AD91" s="46"/>
      <c r="AE91" s="46"/>
      <c r="AF91" s="46"/>
      <c r="AG91" s="46"/>
      <c r="AH91" s="46"/>
      <c r="AI91" s="46"/>
      <c r="AJ91" s="46"/>
    </row>
    <row r="92" spans="1:36" ht="21" hidden="1" customHeight="1" outlineLevel="1" thickBot="1" x14ac:dyDescent="0.4">
      <c r="A92" s="5">
        <f t="shared" si="7"/>
        <v>1</v>
      </c>
      <c r="B92" s="5">
        <f t="shared" si="7"/>
        <v>0</v>
      </c>
      <c r="C92" s="5">
        <f t="shared" si="7"/>
        <v>0</v>
      </c>
      <c r="D92" s="5">
        <f t="shared" si="7"/>
        <v>0</v>
      </c>
      <c r="E92" s="41" t="str">
        <f t="shared" si="6"/>
        <v>Ar</v>
      </c>
      <c r="F92" s="46">
        <f>F14*$C$80</f>
        <v>1.666666666666667</v>
      </c>
      <c r="G92" s="46">
        <f>G14*$C$80</f>
        <v>1.666666666666667</v>
      </c>
      <c r="H92" s="46">
        <f>H14*$C$80</f>
        <v>1.666666666666667</v>
      </c>
      <c r="I92" s="46">
        <f>I14*$C$80</f>
        <v>1.666666666666667</v>
      </c>
      <c r="J92" s="46">
        <f>J14*$C$80</f>
        <v>1.666666666666667</v>
      </c>
      <c r="K92" s="46">
        <f>K14*$C$80</f>
        <v>1.666666666666667</v>
      </c>
      <c r="L92" s="46">
        <f>L14*$C$80</f>
        <v>1.666666666666667</v>
      </c>
      <c r="M92" s="46">
        <f>M14*$C$80</f>
        <v>1.666666666666667</v>
      </c>
      <c r="N92" s="46">
        <f>N14*$C$80</f>
        <v>1.666666666666667</v>
      </c>
      <c r="O92" s="46">
        <f>O14*$C$80</f>
        <v>1.666666666666667</v>
      </c>
      <c r="P92" s="46">
        <f>P14*$C$80</f>
        <v>1.666666666666667</v>
      </c>
      <c r="Q92" s="46">
        <f>Q14*$C$80</f>
        <v>1.666666666666667</v>
      </c>
      <c r="R92" s="46">
        <f>R14*$C$80</f>
        <v>1.666666666666667</v>
      </c>
      <c r="S92" s="46">
        <f>S14*$C$80</f>
        <v>1.666666666666667</v>
      </c>
      <c r="T92" s="46">
        <f>T14*$C$80</f>
        <v>1.666666666666667</v>
      </c>
      <c r="U92" s="46">
        <f>U14*$C$80</f>
        <v>1.666666666666667</v>
      </c>
      <c r="V92" s="46">
        <f>V14*$C$80</f>
        <v>1.666666666666667</v>
      </c>
      <c r="W92" s="46">
        <f>W14*$C$80</f>
        <v>1.666666666666667</v>
      </c>
      <c r="X92" s="46">
        <f>X14*$C$80</f>
        <v>1.666666666666667</v>
      </c>
      <c r="Y92" s="46">
        <f>Y14*$C$80</f>
        <v>1.666666666666667</v>
      </c>
      <c r="Z92" s="46">
        <f>Z14*$C$80</f>
        <v>1.666666666666667</v>
      </c>
      <c r="AA92" s="46">
        <f>AA14*$C$80</f>
        <v>1.666666666666667</v>
      </c>
      <c r="AB92" s="46"/>
      <c r="AC92" s="46"/>
      <c r="AD92" s="46"/>
      <c r="AE92" s="46"/>
      <c r="AF92" s="46"/>
      <c r="AG92" s="46"/>
      <c r="AH92" s="46"/>
      <c r="AI92" s="46"/>
      <c r="AJ92" s="46"/>
    </row>
    <row r="93" spans="1:36" ht="21" hidden="1" customHeight="1" outlineLevel="1" thickBot="1" x14ac:dyDescent="0.4">
      <c r="A93" s="5">
        <f t="shared" si="7"/>
        <v>0</v>
      </c>
      <c r="B93" s="5">
        <f t="shared" si="7"/>
        <v>0</v>
      </c>
      <c r="C93" s="5">
        <f t="shared" si="7"/>
        <v>1</v>
      </c>
      <c r="D93" s="5">
        <f t="shared" si="7"/>
        <v>0</v>
      </c>
      <c r="E93" s="41" t="str">
        <f t="shared" si="6"/>
        <v>(l)Ge[l]</v>
      </c>
      <c r="F93" s="46">
        <f>F15*$C$80</f>
        <v>0</v>
      </c>
      <c r="G93" s="46">
        <f>G15*$C$80</f>
        <v>0</v>
      </c>
      <c r="H93" s="46">
        <f>H15*$C$80</f>
        <v>0</v>
      </c>
      <c r="I93" s="46">
        <f>I15*$C$80</f>
        <v>0</v>
      </c>
      <c r="J93" s="46">
        <f>J15*$C$80</f>
        <v>0</v>
      </c>
      <c r="K93" s="46">
        <f>K15*$C$80</f>
        <v>0</v>
      </c>
      <c r="L93" s="46">
        <f>L15*$C$80</f>
        <v>0</v>
      </c>
      <c r="M93" s="46">
        <f>M15*$C$80</f>
        <v>0</v>
      </c>
      <c r="N93" s="46">
        <f>N15*$C$80</f>
        <v>1.6715000000000003E-21</v>
      </c>
      <c r="O93" s="46">
        <f>O15*$C$80</f>
        <v>6.3442499999999998E-11</v>
      </c>
      <c r="P93" s="46">
        <f>P15*$C$80</f>
        <v>4.3445000000000004E-10</v>
      </c>
      <c r="Q93" s="46">
        <f>Q15*$C$80</f>
        <v>1.1971666666666667E-8</v>
      </c>
      <c r="R93" s="46">
        <f>R15*$C$80</f>
        <v>2.0710833333333335E-8</v>
      </c>
      <c r="S93" s="46">
        <f>S15*$C$80</f>
        <v>3.7360833333333335E-8</v>
      </c>
      <c r="T93" s="46">
        <f>T15*$C$80</f>
        <v>9.8875000000000017E-8</v>
      </c>
      <c r="U93" s="46">
        <f>U15*$C$80</f>
        <v>2.4500833333333334E-7</v>
      </c>
      <c r="V93" s="46">
        <f>V15*$C$80</f>
        <v>0.49995000000000001</v>
      </c>
      <c r="W93" s="46">
        <f>W15*$C$80</f>
        <v>0.5</v>
      </c>
      <c r="X93" s="46">
        <f>X15*$C$80</f>
        <v>0.5</v>
      </c>
      <c r="Y93" s="46">
        <f>Y15*$C$80</f>
        <v>0.5</v>
      </c>
      <c r="Z93" s="46">
        <f>Z15*$C$80</f>
        <v>0.5</v>
      </c>
      <c r="AA93" s="46">
        <f>AA15*$C$80</f>
        <v>0.5</v>
      </c>
      <c r="AB93" s="46"/>
      <c r="AC93" s="46"/>
      <c r="AD93" s="46"/>
      <c r="AE93" s="46"/>
      <c r="AF93" s="46"/>
      <c r="AG93" s="46"/>
      <c r="AH93" s="46"/>
      <c r="AI93" s="46"/>
      <c r="AJ93" s="46"/>
    </row>
    <row r="94" spans="1:36" ht="21" hidden="1" customHeight="1" outlineLevel="1" thickBot="1" x14ac:dyDescent="0.4">
      <c r="A94" s="5">
        <f t="shared" si="7"/>
        <v>1</v>
      </c>
      <c r="B94" s="5">
        <f t="shared" si="7"/>
        <v>0</v>
      </c>
      <c r="C94" s="5">
        <f t="shared" si="7"/>
        <v>0</v>
      </c>
      <c r="D94" s="5">
        <f t="shared" si="7"/>
        <v>0</v>
      </c>
      <c r="E94" s="41" t="str">
        <f t="shared" si="6"/>
        <v>H(Ar)</v>
      </c>
      <c r="F94" s="46">
        <f>F16*$C$80</f>
        <v>-158.5</v>
      </c>
      <c r="G94" s="46">
        <f>G16*$C$80</f>
        <v>-158.58333333333334</v>
      </c>
      <c r="H94" s="46">
        <f>H16*$C$80</f>
        <v>-158.83333333333334</v>
      </c>
      <c r="I94" s="46">
        <f>I16*$C$80</f>
        <v>-159.25</v>
      </c>
      <c r="J94" s="46">
        <f>J16*$C$80</f>
        <v>-159.75000000000003</v>
      </c>
      <c r="K94" s="46">
        <f>K16*$C$80</f>
        <v>-160.25000000000003</v>
      </c>
      <c r="L94" s="46">
        <f>L16*$C$80</f>
        <v>-160.83333333333334</v>
      </c>
      <c r="M94" s="46">
        <f>M16*$C$80</f>
        <v>-158.91666666666669</v>
      </c>
      <c r="N94" s="46">
        <f>N16*$C$80</f>
        <v>-158.58333333333334</v>
      </c>
      <c r="O94" s="46">
        <f>O16*$C$80</f>
        <v>-160.91666666666666</v>
      </c>
      <c r="P94" s="46">
        <f>P16*$C$80</f>
        <v>-163.08333333333334</v>
      </c>
      <c r="Q94" s="46">
        <f>Q16*$C$80</f>
        <v>-165.16666666666669</v>
      </c>
      <c r="R94" s="46">
        <f>R16*$C$80</f>
        <v>-165.66666666666666</v>
      </c>
      <c r="S94" s="46">
        <f>S16*$C$80</f>
        <v>-166.16666666666669</v>
      </c>
      <c r="T94" s="46">
        <f>T16*$C$80</f>
        <v>-166.66666666666669</v>
      </c>
      <c r="U94" s="46">
        <f>U16*$C$80</f>
        <v>-167.08333333333334</v>
      </c>
      <c r="V94" s="46">
        <f>V16*$C$80</f>
        <v>-168.83333333333337</v>
      </c>
      <c r="W94" s="46">
        <f>W16*$C$80</f>
        <v>-170.50000000000003</v>
      </c>
      <c r="X94" s="46">
        <f>X16*$C$80</f>
        <v>-170.91666666666669</v>
      </c>
      <c r="Y94" s="46">
        <f>Y16*$C$80</f>
        <v>-171.33333333333334</v>
      </c>
      <c r="Z94" s="46">
        <f>Z16*$C$80</f>
        <v>-171.66666666666669</v>
      </c>
      <c r="AA94" s="46">
        <f>AA16*$C$80</f>
        <v>-172.08333333333334</v>
      </c>
      <c r="AB94" s="46"/>
      <c r="AC94" s="46"/>
      <c r="AD94" s="46"/>
      <c r="AE94" s="46"/>
      <c r="AF94" s="46"/>
      <c r="AG94" s="46"/>
      <c r="AH94" s="46"/>
      <c r="AI94" s="46"/>
      <c r="AJ94" s="46"/>
    </row>
    <row r="95" spans="1:36" ht="21" hidden="1" customHeight="1" outlineLevel="1" thickBot="1" x14ac:dyDescent="0.4">
      <c r="A95" s="5">
        <f t="shared" si="7"/>
        <v>0</v>
      </c>
      <c r="B95" s="5">
        <f t="shared" si="7"/>
        <v>0</v>
      </c>
      <c r="C95" s="5">
        <f t="shared" si="7"/>
        <v>0</v>
      </c>
      <c r="D95" s="5">
        <f t="shared" si="7"/>
        <v>1</v>
      </c>
      <c r="E95" s="41" t="str">
        <f t="shared" si="6"/>
        <v>H(Ga)</v>
      </c>
      <c r="F95" s="46">
        <f>F17*$C$80</f>
        <v>-508.25000000000006</v>
      </c>
      <c r="G95" s="46">
        <f>G17*$C$80</f>
        <v>-461.58333333333337</v>
      </c>
      <c r="H95" s="46">
        <f>H17*$C$80</f>
        <v>-407.66666666666669</v>
      </c>
      <c r="I95" s="46">
        <f>I17*$C$80</f>
        <v>-355.5</v>
      </c>
      <c r="J95" s="46">
        <f>J17*$C$80</f>
        <v>-310.66666666666669</v>
      </c>
      <c r="K95" s="46">
        <f>K17*$C$80</f>
        <v>-271.66666666666669</v>
      </c>
      <c r="L95" s="46">
        <f>L17*$C$80</f>
        <v>-237.33333333333334</v>
      </c>
      <c r="M95" s="46">
        <f>M17*$C$80</f>
        <v>-211.75000000000003</v>
      </c>
      <c r="N95" s="46">
        <f>N17*$C$80</f>
        <v>-222.75000000000003</v>
      </c>
      <c r="O95" s="46">
        <f>O17*$C$80</f>
        <v>-264.83333333333337</v>
      </c>
      <c r="P95" s="46">
        <f>P17*$C$80</f>
        <v>-302.33333333333337</v>
      </c>
      <c r="Q95" s="46">
        <f>Q17*$C$80</f>
        <v>-333.75</v>
      </c>
      <c r="R95" s="46">
        <f>R17*$C$80</f>
        <v>-340.5</v>
      </c>
      <c r="S95" s="46">
        <f>S17*$C$80</f>
        <v>-346.75</v>
      </c>
      <c r="T95" s="46">
        <f>T17*$C$80</f>
        <v>-352.58333333333337</v>
      </c>
      <c r="U95" s="46">
        <f>U17*$C$80</f>
        <v>-357.83333333333331</v>
      </c>
      <c r="V95" s="46">
        <f>V17*$C$80</f>
        <v>-373.83333333333337</v>
      </c>
      <c r="W95" s="46">
        <f>W17*$C$80</f>
        <v>-381</v>
      </c>
      <c r="X95" s="46">
        <f>X17*$C$80</f>
        <v>-381.33333333333337</v>
      </c>
      <c r="Y95" s="46">
        <f>Y17*$C$80</f>
        <v>-381.16666666666669</v>
      </c>
      <c r="Z95" s="46">
        <f>Z17*$C$80</f>
        <v>-380.33333333333337</v>
      </c>
      <c r="AA95" s="46">
        <f>AA17*$C$80</f>
        <v>-378.91666666666669</v>
      </c>
      <c r="AB95" s="46"/>
      <c r="AC95" s="46"/>
      <c r="AD95" s="46"/>
      <c r="AE95" s="46"/>
      <c r="AF95" s="46"/>
      <c r="AG95" s="46"/>
      <c r="AH95" s="46"/>
      <c r="AI95" s="46"/>
      <c r="AJ95" s="46"/>
    </row>
    <row r="96" spans="1:36" ht="21" hidden="1" customHeight="1" outlineLevel="1" thickBot="1" x14ac:dyDescent="0.4">
      <c r="A96" s="5">
        <f t="shared" si="7"/>
        <v>0</v>
      </c>
      <c r="B96" s="5">
        <f t="shared" si="7"/>
        <v>0</v>
      </c>
      <c r="C96" s="5">
        <f t="shared" si="7"/>
        <v>1</v>
      </c>
      <c r="D96" s="5">
        <f t="shared" si="7"/>
        <v>0</v>
      </c>
      <c r="E96" s="41" t="str">
        <f t="shared" si="6"/>
        <v>H(Ge)</v>
      </c>
      <c r="F96" s="46">
        <f>F18*$C$80</f>
        <v>-127.91666666666667</v>
      </c>
      <c r="G96" s="46">
        <f>G18*$C$80</f>
        <v>-119.66666666666667</v>
      </c>
      <c r="H96" s="46">
        <f>H18*$C$80</f>
        <v>-102.50000000000001</v>
      </c>
      <c r="I96" s="46">
        <f>I18*$C$80</f>
        <v>-83.416666666666671</v>
      </c>
      <c r="J96" s="46">
        <f>J18*$C$80</f>
        <v>-66.841666666666683</v>
      </c>
      <c r="K96" s="46">
        <f>K18*$C$80</f>
        <v>-52.333333333333336</v>
      </c>
      <c r="L96" s="46">
        <f>L18*$C$80</f>
        <v>-39.466666666666669</v>
      </c>
      <c r="M96" s="46">
        <f>M18*$C$80</f>
        <v>-34.508333333333333</v>
      </c>
      <c r="N96" s="46">
        <f>N18*$C$80</f>
        <v>-35.19166666666667</v>
      </c>
      <c r="O96" s="46">
        <f>O18*$C$80</f>
        <v>-37.94166666666667</v>
      </c>
      <c r="P96" s="46">
        <f>P18*$C$80</f>
        <v>-40.608333333333341</v>
      </c>
      <c r="Q96" s="46">
        <f>Q18*$C$80</f>
        <v>-43.125</v>
      </c>
      <c r="R96" s="46">
        <f>R18*$C$80</f>
        <v>-43.725000000000001</v>
      </c>
      <c r="S96" s="46">
        <f>S18*$C$80</f>
        <v>-44.31666666666667</v>
      </c>
      <c r="T96" s="46">
        <f>T18*$C$80</f>
        <v>-44.908333333333339</v>
      </c>
      <c r="U96" s="46">
        <f>U18*$C$80</f>
        <v>-45.483333333333341</v>
      </c>
      <c r="V96" s="46">
        <f>V18*$C$80</f>
        <v>-48.225000000000001</v>
      </c>
      <c r="W96" s="46">
        <f>W18*$C$80</f>
        <v>-53.233333333333334</v>
      </c>
      <c r="X96" s="46">
        <f>X18*$C$80</f>
        <v>-54.375000000000007</v>
      </c>
      <c r="Y96" s="46">
        <f>Y18*$C$80</f>
        <v>-55.483333333333341</v>
      </c>
      <c r="Z96" s="46">
        <f>Z18*$C$80</f>
        <v>-56.558333333333337</v>
      </c>
      <c r="AA96" s="46">
        <f>AA18*$C$80</f>
        <v>-57.591666666666669</v>
      </c>
      <c r="AB96" s="46"/>
      <c r="AC96" s="46"/>
      <c r="AD96" s="46"/>
      <c r="AE96" s="46"/>
      <c r="AF96" s="46"/>
      <c r="AG96" s="46"/>
      <c r="AH96" s="46"/>
      <c r="AI96" s="46"/>
      <c r="AJ96" s="46"/>
    </row>
    <row r="97" spans="1:36" ht="21" hidden="1" customHeight="1" outlineLevel="1" thickBot="1" x14ac:dyDescent="0.4">
      <c r="A97" s="5">
        <f t="shared" si="7"/>
        <v>0</v>
      </c>
      <c r="B97" s="5">
        <f t="shared" si="7"/>
        <v>1</v>
      </c>
      <c r="C97" s="5">
        <f t="shared" si="7"/>
        <v>0</v>
      </c>
      <c r="D97" s="5">
        <f t="shared" si="7"/>
        <v>0</v>
      </c>
      <c r="E97" s="41" t="str">
        <f t="shared" si="6"/>
        <v>H(Se)</v>
      </c>
      <c r="F97" s="46">
        <f>F19*$C$80</f>
        <v>-182.41666666666669</v>
      </c>
      <c r="G97" s="46">
        <f>G19*$C$80</f>
        <v>-167.58333333333334</v>
      </c>
      <c r="H97" s="46">
        <f>H19*$C$80</f>
        <v>-166.41666666666666</v>
      </c>
      <c r="I97" s="46">
        <f>I19*$C$80</f>
        <v>-170.58333333333334</v>
      </c>
      <c r="J97" s="46">
        <f>J19*$C$80</f>
        <v>-174.83333333333334</v>
      </c>
      <c r="K97" s="46">
        <f>K19*$C$80</f>
        <v>-179.08333333333334</v>
      </c>
      <c r="L97" s="46">
        <f>L19*$C$80</f>
        <v>-183.41666666666669</v>
      </c>
      <c r="M97" s="46">
        <f>M19*$C$80</f>
        <v>-187.58333333333337</v>
      </c>
      <c r="N97" s="46">
        <f>N19*$C$80</f>
        <v>-191.83333333333334</v>
      </c>
      <c r="O97" s="46">
        <f>O19*$C$80</f>
        <v>-208.00000000000003</v>
      </c>
      <c r="P97" s="46">
        <f>P19*$C$80</f>
        <v>-223.08333333333334</v>
      </c>
      <c r="Q97" s="46">
        <f>Q19*$C$80</f>
        <v>-237.41666666666666</v>
      </c>
      <c r="R97" s="46">
        <f>R19*$C$80</f>
        <v>-240.83333333333334</v>
      </c>
      <c r="S97" s="46">
        <f>S19*$C$80</f>
        <v>-244.25</v>
      </c>
      <c r="T97" s="46">
        <f>T19*$C$80</f>
        <v>-247.66666666666669</v>
      </c>
      <c r="U97" s="46">
        <f>U19*$C$80</f>
        <v>-251.00000000000003</v>
      </c>
      <c r="V97" s="46">
        <f>V19*$C$80</f>
        <v>-264.08333333333337</v>
      </c>
      <c r="W97" s="46">
        <f>W19*$C$80</f>
        <v>-276.83333333333337</v>
      </c>
      <c r="X97" s="46">
        <f>X19*$C$80</f>
        <v>-279.91666666666674</v>
      </c>
      <c r="Y97" s="46">
        <f>Y19*$C$80</f>
        <v>-283.08333333333337</v>
      </c>
      <c r="Z97" s="46">
        <f>Z19*$C$80</f>
        <v>-286.16666666666674</v>
      </c>
      <c r="AA97" s="46">
        <f>AA19*$C$80</f>
        <v>-289.25</v>
      </c>
      <c r="AB97" s="46"/>
      <c r="AC97" s="46"/>
      <c r="AD97" s="46"/>
      <c r="AE97" s="46"/>
      <c r="AF97" s="46"/>
      <c r="AG97" s="46"/>
      <c r="AH97" s="46"/>
      <c r="AI97" s="46"/>
      <c r="AJ97" s="46"/>
    </row>
    <row r="98" spans="1:36" ht="21" hidden="1" customHeight="1" outlineLevel="1" thickBot="1" x14ac:dyDescent="0.4">
      <c r="A98" s="5">
        <f t="shared" si="7"/>
        <v>0</v>
      </c>
      <c r="B98" s="5">
        <f t="shared" si="7"/>
        <v>0</v>
      </c>
      <c r="C98" s="5">
        <f t="shared" si="7"/>
        <v>0</v>
      </c>
      <c r="D98" s="5">
        <f t="shared" si="7"/>
        <v>0</v>
      </c>
      <c r="E98" s="41">
        <f t="shared" si="6"/>
        <v>0</v>
      </c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</row>
    <row r="99" spans="1:36" ht="21" hidden="1" customHeight="1" outlineLevel="1" thickBot="1" x14ac:dyDescent="0.4">
      <c r="A99" s="5">
        <f t="shared" si="7"/>
        <v>0</v>
      </c>
      <c r="B99" s="5">
        <f t="shared" si="7"/>
        <v>0</v>
      </c>
      <c r="C99" s="5">
        <f t="shared" si="7"/>
        <v>0</v>
      </c>
      <c r="D99" s="5">
        <f t="shared" si="7"/>
        <v>0</v>
      </c>
      <c r="E99" s="41">
        <f t="shared" si="6"/>
        <v>0</v>
      </c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</row>
    <row r="100" spans="1:36" ht="21" hidden="1" customHeight="1" outlineLevel="1" thickBot="1" x14ac:dyDescent="0.4">
      <c r="A100" s="5">
        <f t="shared" si="7"/>
        <v>0</v>
      </c>
      <c r="B100" s="5">
        <f t="shared" si="7"/>
        <v>0</v>
      </c>
      <c r="C100" s="5">
        <f t="shared" si="7"/>
        <v>0</v>
      </c>
      <c r="D100" s="5">
        <f t="shared" si="7"/>
        <v>0</v>
      </c>
      <c r="E100" s="41">
        <f t="shared" si="6"/>
        <v>0</v>
      </c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</row>
    <row r="101" spans="1:36" ht="21" hidden="1" customHeight="1" outlineLevel="1" thickBot="1" x14ac:dyDescent="0.4">
      <c r="A101" s="5">
        <f t="shared" si="7"/>
        <v>0</v>
      </c>
      <c r="B101" s="5">
        <f t="shared" si="7"/>
        <v>0</v>
      </c>
      <c r="C101" s="5">
        <f t="shared" si="7"/>
        <v>0</v>
      </c>
      <c r="D101" s="5">
        <f t="shared" si="7"/>
        <v>0</v>
      </c>
      <c r="E101" s="41">
        <f t="shared" si="6"/>
        <v>0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</row>
    <row r="102" spans="1:36" ht="21" hidden="1" customHeight="1" outlineLevel="1" thickBot="1" x14ac:dyDescent="0.4">
      <c r="A102" s="5">
        <f t="shared" si="7"/>
        <v>0</v>
      </c>
      <c r="B102" s="5">
        <f t="shared" si="7"/>
        <v>0</v>
      </c>
      <c r="C102" s="5">
        <f t="shared" si="7"/>
        <v>0</v>
      </c>
      <c r="D102" s="5">
        <f t="shared" si="7"/>
        <v>0</v>
      </c>
      <c r="E102" s="41">
        <f t="shared" si="6"/>
        <v>0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</row>
    <row r="103" spans="1:36" ht="21" hidden="1" customHeight="1" outlineLevel="1" thickBot="1" x14ac:dyDescent="0.4">
      <c r="A103" s="5">
        <f t="shared" si="7"/>
        <v>0</v>
      </c>
      <c r="B103" s="5">
        <f t="shared" si="7"/>
        <v>0</v>
      </c>
      <c r="C103" s="5">
        <f t="shared" si="7"/>
        <v>0</v>
      </c>
      <c r="D103" s="5">
        <f t="shared" si="7"/>
        <v>0</v>
      </c>
      <c r="E103" s="41">
        <f t="shared" si="6"/>
        <v>0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</row>
    <row r="104" spans="1:36" ht="21" hidden="1" customHeight="1" outlineLevel="1" thickBot="1" x14ac:dyDescent="0.4">
      <c r="A104" s="5">
        <f t="shared" si="7"/>
        <v>0</v>
      </c>
      <c r="B104" s="5">
        <f t="shared" si="7"/>
        <v>0</v>
      </c>
      <c r="C104" s="5">
        <f t="shared" si="7"/>
        <v>0</v>
      </c>
      <c r="D104" s="5">
        <f t="shared" si="7"/>
        <v>0</v>
      </c>
      <c r="E104" s="41">
        <f t="shared" si="6"/>
        <v>0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</row>
    <row r="105" spans="1:36" ht="21" hidden="1" customHeight="1" outlineLevel="1" thickBot="1" x14ac:dyDescent="0.4">
      <c r="A105" s="5">
        <f t="shared" si="7"/>
        <v>0</v>
      </c>
      <c r="B105" s="5">
        <f t="shared" si="7"/>
        <v>0</v>
      </c>
      <c r="C105" s="5">
        <f t="shared" si="7"/>
        <v>0</v>
      </c>
      <c r="D105" s="5">
        <f t="shared" si="7"/>
        <v>0</v>
      </c>
      <c r="E105" s="41">
        <f t="shared" si="6"/>
        <v>0</v>
      </c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</row>
    <row r="106" spans="1:36" ht="21" hidden="1" customHeight="1" outlineLevel="1" thickBot="1" x14ac:dyDescent="0.4">
      <c r="A106" s="5">
        <f t="shared" si="7"/>
        <v>0</v>
      </c>
      <c r="B106" s="5">
        <f t="shared" si="7"/>
        <v>0</v>
      </c>
      <c r="C106" s="5">
        <f t="shared" si="7"/>
        <v>0</v>
      </c>
      <c r="D106" s="5">
        <f t="shared" si="7"/>
        <v>0</v>
      </c>
      <c r="E106" s="41">
        <f t="shared" si="6"/>
        <v>0</v>
      </c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</row>
    <row r="107" spans="1:36" ht="21" hidden="1" customHeight="1" outlineLevel="1" thickBot="1" x14ac:dyDescent="0.4">
      <c r="A107" s="5">
        <f t="shared" si="7"/>
        <v>0</v>
      </c>
      <c r="B107" s="5">
        <f t="shared" si="7"/>
        <v>0</v>
      </c>
      <c r="C107" s="5">
        <f t="shared" si="7"/>
        <v>0</v>
      </c>
      <c r="D107" s="5">
        <f t="shared" si="7"/>
        <v>0</v>
      </c>
      <c r="E107" s="41">
        <f t="shared" si="6"/>
        <v>0</v>
      </c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</row>
    <row r="108" spans="1:36" ht="21" hidden="1" customHeight="1" outlineLevel="1" thickBot="1" x14ac:dyDescent="0.4">
      <c r="A108" s="5">
        <f t="shared" si="7"/>
        <v>0</v>
      </c>
      <c r="B108" s="5">
        <f t="shared" si="7"/>
        <v>0</v>
      </c>
      <c r="C108" s="5">
        <f t="shared" si="7"/>
        <v>0</v>
      </c>
      <c r="D108" s="5">
        <f t="shared" si="7"/>
        <v>0</v>
      </c>
      <c r="E108" s="41">
        <f t="shared" si="6"/>
        <v>0</v>
      </c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</row>
    <row r="109" spans="1:36" ht="21" hidden="1" customHeight="1" outlineLevel="1" thickBot="1" x14ac:dyDescent="0.4">
      <c r="A109" s="5">
        <f t="shared" si="7"/>
        <v>0</v>
      </c>
      <c r="B109" s="5">
        <f t="shared" si="7"/>
        <v>0</v>
      </c>
      <c r="C109" s="5">
        <f t="shared" si="7"/>
        <v>0</v>
      </c>
      <c r="D109" s="5">
        <f t="shared" si="7"/>
        <v>0</v>
      </c>
      <c r="E109" s="41">
        <f t="shared" si="6"/>
        <v>0</v>
      </c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</row>
    <row r="110" spans="1:36" ht="21" hidden="1" customHeight="1" outlineLevel="1" thickBot="1" x14ac:dyDescent="0.4">
      <c r="A110" s="5">
        <f t="shared" si="7"/>
        <v>0</v>
      </c>
      <c r="B110" s="5">
        <f t="shared" si="7"/>
        <v>0</v>
      </c>
      <c r="C110" s="5">
        <f t="shared" si="7"/>
        <v>0</v>
      </c>
      <c r="D110" s="5">
        <f t="shared" si="7"/>
        <v>0</v>
      </c>
      <c r="E110" s="41">
        <f t="shared" si="6"/>
        <v>0</v>
      </c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</row>
    <row r="111" spans="1:36" ht="21" hidden="1" customHeight="1" outlineLevel="1" thickBot="1" x14ac:dyDescent="0.4">
      <c r="A111" s="5">
        <f t="shared" si="7"/>
        <v>0</v>
      </c>
      <c r="B111" s="5">
        <f t="shared" si="7"/>
        <v>0</v>
      </c>
      <c r="C111" s="5">
        <f t="shared" si="7"/>
        <v>0</v>
      </c>
      <c r="D111" s="5">
        <f t="shared" si="7"/>
        <v>0</v>
      </c>
      <c r="E111" s="41">
        <f t="shared" si="6"/>
        <v>1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</row>
    <row r="112" spans="1:36" ht="21" hidden="1" customHeight="1" outlineLevel="1" x14ac:dyDescent="0.35"/>
    <row r="113" spans="1:69" ht="21" customHeight="1" collapsed="1" thickBot="1" x14ac:dyDescent="0.4"/>
    <row r="114" spans="1:69" ht="21" customHeight="1" thickTop="1" thickBot="1" x14ac:dyDescent="0.45">
      <c r="A114" s="59"/>
      <c r="B114" s="59"/>
      <c r="C114" s="59"/>
      <c r="D114" s="59"/>
      <c r="E114" s="61"/>
      <c r="F114" s="58" t="str">
        <f>ALL!F114</f>
        <v>Энергия гиббса фаз в данной системе. КДж</v>
      </c>
      <c r="G114" s="58"/>
      <c r="H114" s="58"/>
      <c r="I114" s="58"/>
      <c r="J114" s="58"/>
      <c r="K114" s="58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X114" s="18"/>
      <c r="BQ114" s="18"/>
    </row>
    <row r="115" spans="1:69" ht="21" hidden="1" customHeight="1" outlineLevel="1" thickTop="1" thickBot="1" x14ac:dyDescent="0.4">
      <c r="D115" s="19" t="s">
        <v>15</v>
      </c>
      <c r="E115" s="19"/>
      <c r="F115" s="6">
        <f>F3</f>
        <v>298.2</v>
      </c>
      <c r="G115" s="6">
        <f>G3</f>
        <v>331.5</v>
      </c>
      <c r="H115" s="6">
        <f>H3</f>
        <v>364.9</v>
      </c>
      <c r="I115" s="6">
        <f>I3</f>
        <v>398.3</v>
      </c>
      <c r="J115" s="6">
        <f>J3</f>
        <v>431.7</v>
      </c>
      <c r="K115" s="6">
        <f>K3</f>
        <v>465.1</v>
      </c>
      <c r="L115" s="6">
        <f>L3</f>
        <v>498.5</v>
      </c>
      <c r="M115" s="6">
        <f>M3</f>
        <v>531.79999999999995</v>
      </c>
      <c r="N115" s="6">
        <f>N3</f>
        <v>565.20000000000005</v>
      </c>
      <c r="O115" s="6">
        <f>O3</f>
        <v>698.8</v>
      </c>
      <c r="P115" s="6">
        <f>P3</f>
        <v>832.3</v>
      </c>
      <c r="Q115" s="6">
        <f>Q3</f>
        <v>965.8</v>
      </c>
      <c r="R115" s="6">
        <f>R3</f>
        <v>999.2</v>
      </c>
      <c r="S115" s="6">
        <f>S3</f>
        <v>1033</v>
      </c>
      <c r="T115" s="6">
        <f>T3</f>
        <v>1066</v>
      </c>
      <c r="U115" s="6">
        <f>U3</f>
        <v>1099</v>
      </c>
      <c r="V115" s="6">
        <f>V3</f>
        <v>1233</v>
      </c>
      <c r="W115" s="6">
        <f>W3</f>
        <v>1366</v>
      </c>
      <c r="X115" s="6">
        <f>X3</f>
        <v>1400</v>
      </c>
      <c r="Y115" s="6">
        <f>Y3</f>
        <v>1433</v>
      </c>
      <c r="Z115" s="6">
        <f>Z3</f>
        <v>1467</v>
      </c>
      <c r="AA115" s="6">
        <f>AA3</f>
        <v>1500</v>
      </c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69" ht="21" hidden="1" customHeight="1" outlineLevel="1" thickTop="1" x14ac:dyDescent="0.35">
      <c r="E116" s="53" t="s">
        <v>54</v>
      </c>
      <c r="F116" s="78">
        <f>F$115*$B$2*SUMPRODUCT(F$93,F$59)/1000</f>
        <v>0</v>
      </c>
      <c r="G116" s="78">
        <f t="shared" ref="G116:AA116" si="8">G$115*$B$2*SUMPRODUCT(G$93,G$59)/1000</f>
        <v>0</v>
      </c>
      <c r="H116" s="78">
        <f t="shared" si="8"/>
        <v>0</v>
      </c>
      <c r="I116" s="78">
        <f t="shared" si="8"/>
        <v>0</v>
      </c>
      <c r="J116" s="78">
        <f t="shared" si="8"/>
        <v>0</v>
      </c>
      <c r="K116" s="78">
        <f t="shared" si="8"/>
        <v>0</v>
      </c>
      <c r="L116" s="78">
        <f t="shared" si="8"/>
        <v>0</v>
      </c>
      <c r="M116" s="78">
        <f t="shared" si="8"/>
        <v>0</v>
      </c>
      <c r="N116" s="78">
        <f t="shared" si="8"/>
        <v>-3.3171549083295307E-20</v>
      </c>
      <c r="O116" s="78">
        <f t="shared" si="8"/>
        <v>-1.6782898676740513E-9</v>
      </c>
      <c r="P116" s="78">
        <f t="shared" si="8"/>
        <v>-1.4650493200802501E-8</v>
      </c>
      <c r="Q116" s="78">
        <f t="shared" si="8"/>
        <v>-4.9749452873133752E-7</v>
      </c>
      <c r="R116" s="78">
        <f t="shared" si="8"/>
        <v>-9.028117463570371E-7</v>
      </c>
      <c r="S116" s="78">
        <f t="shared" si="8"/>
        <v>-1.7064805660882326E-6</v>
      </c>
      <c r="T116" s="78">
        <f t="shared" si="8"/>
        <v>-4.7226745938303771E-6</v>
      </c>
      <c r="U116" s="78">
        <f t="shared" si="8"/>
        <v>-1.2219353177076327E-5</v>
      </c>
      <c r="V116" s="78">
        <f t="shared" si="8"/>
        <v>-29.660554737641025</v>
      </c>
      <c r="W116" s="78">
        <f t="shared" si="8"/>
        <v>-36.276196758000005</v>
      </c>
      <c r="X116" s="78">
        <f t="shared" si="8"/>
        <v>-37.976478750000005</v>
      </c>
      <c r="Y116" s="78">
        <f t="shared" si="8"/>
        <v>-39.663964726500012</v>
      </c>
      <c r="Z116" s="78">
        <f t="shared" si="8"/>
        <v>-41.391780185250006</v>
      </c>
      <c r="AA116" s="78">
        <f t="shared" si="8"/>
        <v>-43.096132125000004</v>
      </c>
      <c r="AB116" s="78"/>
      <c r="AC116" s="78"/>
      <c r="AD116" s="78"/>
      <c r="AE116" s="78"/>
      <c r="AF116" s="78"/>
      <c r="AG116" s="78"/>
      <c r="AH116" s="78"/>
      <c r="AI116" s="78"/>
      <c r="AJ116" s="78"/>
    </row>
    <row r="117" spans="1:69" ht="21" hidden="1" customHeight="1" outlineLevel="1" x14ac:dyDescent="0.35">
      <c r="E117" s="53" t="s">
        <v>47</v>
      </c>
      <c r="F117" s="78">
        <f>F$115*$B$2*SUMPRODUCT(F$89:F$91,F$55:F$57)/1000</f>
        <v>-387.7136573625001</v>
      </c>
      <c r="G117" s="78">
        <f t="shared" ref="G117:AA117" si="9">G$115*$B$2*SUMPRODUCT(G$89:G$91,G$55:G$57)/1000</f>
        <v>-393.01924374375011</v>
      </c>
      <c r="H117" s="78">
        <f t="shared" si="9"/>
        <v>-398.83946303124998</v>
      </c>
      <c r="I117" s="78">
        <f t="shared" si="9"/>
        <v>-404.93388067125011</v>
      </c>
      <c r="J117" s="78">
        <f t="shared" si="9"/>
        <v>-411.2819390625001</v>
      </c>
      <c r="K117" s="78">
        <f t="shared" si="9"/>
        <v>-417.86956591375014</v>
      </c>
      <c r="L117" s="78">
        <f t="shared" si="9"/>
        <v>-424.80523080625011</v>
      </c>
      <c r="M117" s="78">
        <f t="shared" si="9"/>
        <v>-97.82702426331339</v>
      </c>
      <c r="N117" s="78">
        <f t="shared" si="9"/>
        <v>-9.7697728422550829E-3</v>
      </c>
      <c r="O117" s="78">
        <f t="shared" si="9"/>
        <v>-5.2135380437530261E-16</v>
      </c>
      <c r="P117" s="78">
        <f t="shared" si="9"/>
        <v>-4.74568858058136E-15</v>
      </c>
      <c r="Q117" s="78">
        <f t="shared" si="9"/>
        <v>-1.0309422660575631E-11</v>
      </c>
      <c r="R117" s="78">
        <f t="shared" si="9"/>
        <v>-5.1281458836036665E-11</v>
      </c>
      <c r="S117" s="78">
        <f t="shared" si="9"/>
        <v>-2.3041887730372607E-10</v>
      </c>
      <c r="T117" s="78">
        <f t="shared" si="9"/>
        <v>-9.4323239197797161E-10</v>
      </c>
      <c r="U117" s="78">
        <f t="shared" si="9"/>
        <v>-3.5489887538815944E-9</v>
      </c>
      <c r="V117" s="78">
        <f t="shared" si="9"/>
        <v>-3.3393422119415529E-7</v>
      </c>
      <c r="W117" s="78">
        <f t="shared" si="9"/>
        <v>-1.0159124717946732E-5</v>
      </c>
      <c r="X117" s="78">
        <f t="shared" si="9"/>
        <v>-2.1585197580187506E-5</v>
      </c>
      <c r="Y117" s="78">
        <f t="shared" si="9"/>
        <v>-4.4275892225073797E-5</v>
      </c>
      <c r="Z117" s="78">
        <f t="shared" si="9"/>
        <v>-8.8009272618887836E-5</v>
      </c>
      <c r="AA117" s="78">
        <f t="shared" si="9"/>
        <v>-1.6961143605152999E-4</v>
      </c>
      <c r="AB117" s="78"/>
      <c r="AC117" s="78"/>
      <c r="AD117" s="78"/>
      <c r="AE117" s="78"/>
      <c r="AF117" s="78"/>
      <c r="AG117" s="78"/>
      <c r="AH117" s="78"/>
      <c r="AI117" s="78"/>
      <c r="AJ117" s="78"/>
    </row>
    <row r="118" spans="1:69" ht="21" hidden="1" customHeight="1" outlineLevel="1" x14ac:dyDescent="0.35">
      <c r="E118" s="53" t="s">
        <v>46</v>
      </c>
      <c r="F118" s="78">
        <f>F$115*$B$2*SUMPRODUCT(F$89:F$92,F$55:F$58)/1000</f>
        <v>-466.31012699250016</v>
      </c>
      <c r="G118" s="78">
        <f t="shared" ref="G118:AA118" si="10">G$115*$B$2*SUMPRODUCT(G$89:G$92,G$55:G$58)/1000</f>
        <v>-480.43852033125012</v>
      </c>
      <c r="H118" s="78">
        <f t="shared" si="10"/>
        <v>-495.21829238625003</v>
      </c>
      <c r="I118" s="78">
        <f t="shared" si="10"/>
        <v>-510.41042206875011</v>
      </c>
      <c r="J118" s="78">
        <f t="shared" si="10"/>
        <v>-525.9622993800001</v>
      </c>
      <c r="K118" s="78">
        <f t="shared" si="10"/>
        <v>-541.80928601125026</v>
      </c>
      <c r="L118" s="78">
        <f t="shared" si="10"/>
        <v>-558.1289311812501</v>
      </c>
      <c r="M118" s="78">
        <f t="shared" si="10"/>
        <v>-238.3618350583134</v>
      </c>
      <c r="N118" s="78">
        <f t="shared" si="10"/>
        <v>-149.05765854284232</v>
      </c>
      <c r="O118" s="78">
        <f t="shared" si="10"/>
        <v>-186.99072151000004</v>
      </c>
      <c r="P118" s="78">
        <f t="shared" si="10"/>
        <v>-225.71249818250007</v>
      </c>
      <c r="Q118" s="78">
        <f t="shared" si="10"/>
        <v>-265.26242677001039</v>
      </c>
      <c r="R118" s="78">
        <f t="shared" si="10"/>
        <v>-275.26671032005135</v>
      </c>
      <c r="S118" s="78">
        <f t="shared" si="10"/>
        <v>-285.43706215023053</v>
      </c>
      <c r="T118" s="78">
        <f t="shared" si="10"/>
        <v>-295.44190000094335</v>
      </c>
      <c r="U118" s="78">
        <f t="shared" si="10"/>
        <v>-305.34931962854904</v>
      </c>
      <c r="V118" s="78">
        <f t="shared" si="10"/>
        <v>-346.16838768393433</v>
      </c>
      <c r="W118" s="78">
        <f t="shared" si="10"/>
        <v>-387.29440885912487</v>
      </c>
      <c r="X118" s="78">
        <f t="shared" si="10"/>
        <v>-397.90427658519769</v>
      </c>
      <c r="Y118" s="78">
        <f t="shared" si="10"/>
        <v>-408.27636087589241</v>
      </c>
      <c r="Z118" s="78">
        <f t="shared" si="10"/>
        <v>-418.77650950927284</v>
      </c>
      <c r="AA118" s="78">
        <f t="shared" si="10"/>
        <v>-429.23623211143621</v>
      </c>
      <c r="AB118" s="78"/>
      <c r="AC118" s="78"/>
      <c r="AD118" s="78"/>
      <c r="AE118" s="78"/>
      <c r="AF118" s="78"/>
      <c r="AG118" s="78"/>
      <c r="AH118" s="78"/>
      <c r="AI118" s="78"/>
      <c r="AJ118" s="78"/>
    </row>
    <row r="119" spans="1:69" ht="21" hidden="1" customHeight="1" outlineLevel="1" x14ac:dyDescent="0.35"/>
    <row r="120" spans="1:69" ht="21" hidden="1" customHeight="1" outlineLevel="1" x14ac:dyDescent="0.35">
      <c r="E120" s="77" t="s">
        <v>66</v>
      </c>
      <c r="F120" s="107">
        <f>F116+F117</f>
        <v>-387.7136573625001</v>
      </c>
      <c r="G120" s="107">
        <f t="shared" ref="G120:AA120" si="11">G116+G117</f>
        <v>-393.01924374375011</v>
      </c>
      <c r="H120" s="107">
        <f t="shared" si="11"/>
        <v>-398.83946303124998</v>
      </c>
      <c r="I120" s="107">
        <f t="shared" si="11"/>
        <v>-404.93388067125011</v>
      </c>
      <c r="J120" s="107">
        <f t="shared" si="11"/>
        <v>-411.2819390625001</v>
      </c>
      <c r="K120" s="107">
        <f t="shared" si="11"/>
        <v>-417.86956591375014</v>
      </c>
      <c r="L120" s="107">
        <f t="shared" si="11"/>
        <v>-424.80523080625011</v>
      </c>
      <c r="M120" s="107">
        <f t="shared" si="11"/>
        <v>-97.82702426331339</v>
      </c>
      <c r="N120" s="107">
        <f t="shared" si="11"/>
        <v>-9.7697728422550829E-3</v>
      </c>
      <c r="O120" s="107">
        <f t="shared" si="11"/>
        <v>-1.6782903890278557E-9</v>
      </c>
      <c r="P120" s="107">
        <f t="shared" si="11"/>
        <v>-1.4650497946491081E-8</v>
      </c>
      <c r="Q120" s="107">
        <f t="shared" si="11"/>
        <v>-4.9750483815399808E-7</v>
      </c>
      <c r="R120" s="107">
        <f t="shared" si="11"/>
        <v>-9.0286302781587314E-7</v>
      </c>
      <c r="S120" s="107">
        <f t="shared" si="11"/>
        <v>-1.7067109849655364E-6</v>
      </c>
      <c r="T120" s="107">
        <f t="shared" si="11"/>
        <v>-4.7236178262223547E-6</v>
      </c>
      <c r="U120" s="107">
        <f t="shared" si="11"/>
        <v>-1.2222902165830208E-5</v>
      </c>
      <c r="V120" s="107">
        <f t="shared" si="11"/>
        <v>-29.660555071575246</v>
      </c>
      <c r="W120" s="107">
        <f t="shared" si="11"/>
        <v>-36.276206917124725</v>
      </c>
      <c r="X120" s="107">
        <f t="shared" si="11"/>
        <v>-37.976500335197585</v>
      </c>
      <c r="Y120" s="107">
        <f t="shared" si="11"/>
        <v>-39.664009002392234</v>
      </c>
      <c r="Z120" s="107">
        <f t="shared" si="11"/>
        <v>-41.391868194522623</v>
      </c>
      <c r="AA120" s="107">
        <f t="shared" si="11"/>
        <v>-43.096301736436054</v>
      </c>
      <c r="AB120" s="79"/>
      <c r="AC120" s="79"/>
      <c r="AD120" s="79"/>
      <c r="AE120" s="79"/>
      <c r="AF120" s="79"/>
      <c r="AG120" s="79"/>
      <c r="AH120" s="79"/>
      <c r="AI120" s="79"/>
      <c r="AJ120" s="79"/>
    </row>
    <row r="121" spans="1:69" ht="21" hidden="1" customHeight="1" outlineLevel="1" x14ac:dyDescent="0.35"/>
    <row r="122" spans="1:69" ht="21" hidden="1" customHeight="1" outlineLevel="1" x14ac:dyDescent="0.35">
      <c r="E122" s="77" t="s">
        <v>65</v>
      </c>
      <c r="F122">
        <v>460</v>
      </c>
      <c r="G122">
        <v>1000000</v>
      </c>
    </row>
    <row r="123" spans="1:69" ht="21" hidden="1" customHeight="1" outlineLevel="1" x14ac:dyDescent="0.35">
      <c r="F123">
        <v>460</v>
      </c>
      <c r="G123">
        <v>-10000000</v>
      </c>
      <c r="BH123" t="s">
        <v>67</v>
      </c>
    </row>
    <row r="124" spans="1:69" ht="21" customHeight="1" collapsed="1" thickTop="1" thickBot="1" x14ac:dyDescent="0.4"/>
    <row r="125" spans="1:69" ht="21" customHeight="1" thickBot="1" x14ac:dyDescent="0.45">
      <c r="A125" s="59"/>
      <c r="B125" s="59"/>
      <c r="C125" s="59"/>
      <c r="D125" s="59"/>
      <c r="E125" s="61"/>
      <c r="F125" s="58" t="s">
        <v>16</v>
      </c>
      <c r="G125" s="58"/>
      <c r="H125" s="58"/>
      <c r="I125" s="58"/>
      <c r="J125" s="58"/>
      <c r="K125" s="58"/>
      <c r="L125" s="58"/>
      <c r="M125" s="27"/>
      <c r="N125" s="27"/>
      <c r="O125" s="27"/>
      <c r="P125" s="27"/>
      <c r="Q125" s="27"/>
      <c r="R125" s="27"/>
      <c r="S125" s="2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</row>
    <row r="126" spans="1:69" ht="21" hidden="1" customHeight="1" outlineLevel="1" thickBot="1" x14ac:dyDescent="0.4">
      <c r="A126" s="26" t="s">
        <v>17</v>
      </c>
      <c r="B126" s="21" t="s">
        <v>18</v>
      </c>
      <c r="C126">
        <v>298.14999999999998</v>
      </c>
    </row>
    <row r="127" spans="1:69" ht="21" hidden="1" customHeight="1" outlineLevel="1" x14ac:dyDescent="0.35">
      <c r="A127">
        <v>8</v>
      </c>
      <c r="B127" s="20" t="s">
        <v>19</v>
      </c>
      <c r="C127">
        <v>5</v>
      </c>
    </row>
    <row r="128" spans="1:69" ht="21" hidden="1" customHeight="1" outlineLevel="1" x14ac:dyDescent="0.35">
      <c r="B128" s="22" t="s">
        <v>20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21" t="s">
        <v>21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6" priority="5" operator="equal">
      <formula>0</formula>
    </cfRule>
  </conditionalFormatting>
  <conditionalFormatting sqref="A48:D78">
    <cfRule type="cellIs" dxfId="5" priority="4" operator="equal">
      <formula>0</formula>
    </cfRule>
  </conditionalFormatting>
  <conditionalFormatting sqref="A82:D111">
    <cfRule type="cellIs" dxfId="4" priority="3" operator="equal">
      <formula>0</formula>
    </cfRule>
  </conditionalFormatting>
  <conditionalFormatting sqref="K20">
    <cfRule type="expression" dxfId="3" priority="1">
      <formula>NOT(ISNUMBER(K20))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9"/>
  <sheetViews>
    <sheetView zoomScaleNormal="100" workbookViewId="0">
      <pane ySplit="1" topLeftCell="A2" activePane="bottomLeft" state="frozen"/>
      <selection pane="bottomLeft" activeCell="E40" sqref="E40"/>
    </sheetView>
  </sheetViews>
  <sheetFormatPr defaultRowHeight="2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71" t="s">
        <v>58</v>
      </c>
      <c r="B1" s="65">
        <v>100</v>
      </c>
      <c r="C1" s="66">
        <v>1500</v>
      </c>
      <c r="D1" s="72" t="s">
        <v>59</v>
      </c>
      <c r="E1" s="67">
        <v>60</v>
      </c>
      <c r="F1" s="68" t="s">
        <v>60</v>
      </c>
      <c r="G1" s="73"/>
      <c r="H1" s="69">
        <v>2</v>
      </c>
      <c r="I1" s="74" t="s">
        <v>61</v>
      </c>
      <c r="J1" s="70">
        <v>19</v>
      </c>
    </row>
    <row r="2" spans="1:194" ht="22.5" thickTop="1" thickBot="1" x14ac:dyDescent="0.4">
      <c r="A2" s="64" t="s">
        <v>55</v>
      </c>
      <c r="B2" s="88">
        <f>FLUID!F3</f>
        <v>298.2</v>
      </c>
      <c r="C2" s="88">
        <f>FLUID!G3</f>
        <v>431.7</v>
      </c>
      <c r="D2" s="88">
        <f>FLUID!H3</f>
        <v>465.1</v>
      </c>
      <c r="E2" s="88">
        <f>FLUID!I3</f>
        <v>498.5</v>
      </c>
      <c r="F2" s="88">
        <f>FLUID!J3</f>
        <v>531.79999999999995</v>
      </c>
      <c r="G2" s="88">
        <f>FLUID!K3</f>
        <v>565.20000000000005</v>
      </c>
      <c r="H2" s="88">
        <f>FLUID!L3</f>
        <v>698.8</v>
      </c>
      <c r="I2" s="88">
        <f>FLUID!M3</f>
        <v>732.2</v>
      </c>
      <c r="J2" s="88">
        <f>FLUID!N3</f>
        <v>765.5</v>
      </c>
      <c r="K2" s="88">
        <f>FLUID!O3</f>
        <v>798.9</v>
      </c>
      <c r="L2" s="88">
        <f>FLUID!P3</f>
        <v>832.3</v>
      </c>
      <c r="M2" s="88">
        <f>FLUID!Q3</f>
        <v>965.8</v>
      </c>
      <c r="N2" s="88">
        <f>FLUID!R3</f>
        <v>999.2</v>
      </c>
      <c r="O2" s="88">
        <f>FLUID!S3</f>
        <v>1033</v>
      </c>
      <c r="P2" s="88">
        <f>FLUID!T3</f>
        <v>1066</v>
      </c>
      <c r="Q2" s="88">
        <f>FLUID!U3</f>
        <v>1099</v>
      </c>
      <c r="R2" s="88">
        <f>FLUID!V3</f>
        <v>1233</v>
      </c>
      <c r="S2" s="88">
        <f>FLUID!W3</f>
        <v>1366</v>
      </c>
      <c r="T2" s="88">
        <f>FLUID!X3</f>
        <v>1500</v>
      </c>
    </row>
    <row r="3" spans="1:194" ht="21.75" thickBot="1" x14ac:dyDescent="0.4">
      <c r="A3" s="56" t="str">
        <f>FLUID!E4</f>
        <v>Se3</v>
      </c>
      <c r="B3" s="46">
        <f>FLUID!F4</f>
        <v>1.3056000000000001E-22</v>
      </c>
      <c r="C3" s="46">
        <f>FLUID!G4</f>
        <v>8.4706E-14</v>
      </c>
      <c r="D3" s="46">
        <f>FLUID!H4</f>
        <v>1.9731000000000001E-12</v>
      </c>
      <c r="E3" s="46">
        <f>FLUID!I4</f>
        <v>2.9366000000000002E-11</v>
      </c>
      <c r="F3" s="46">
        <f>FLUID!J4</f>
        <v>3.0681999999999998E-10</v>
      </c>
      <c r="G3" s="46">
        <f>FLUID!K4</f>
        <v>2.4323E-9</v>
      </c>
      <c r="H3" s="46">
        <f>FLUID!L4</f>
        <v>1.6574E-6</v>
      </c>
      <c r="I3" s="46">
        <f>FLUID!M4</f>
        <v>5.8046000000000003E-6</v>
      </c>
      <c r="J3" s="46">
        <f>FLUID!N4</f>
        <v>1.7708999999999999E-5</v>
      </c>
      <c r="K3" s="46">
        <f>FLUID!O4</f>
        <v>4.7824000000000002E-5</v>
      </c>
      <c r="L3" s="46">
        <f>FLUID!P4</f>
        <v>1.1595E-4</v>
      </c>
      <c r="M3" s="46">
        <f>FLUID!Q4</f>
        <v>1.4264E-3</v>
      </c>
      <c r="N3" s="46">
        <f>FLUID!R4</f>
        <v>1.9935999999999999E-3</v>
      </c>
      <c r="O3" s="46">
        <f>FLUID!S4</f>
        <v>2.4840000000000001E-3</v>
      </c>
      <c r="P3" s="46">
        <f>FLUID!T4</f>
        <v>2.7785000000000002E-3</v>
      </c>
      <c r="Q3" s="46">
        <f>FLUID!U4</f>
        <v>2.8771000000000001E-3</v>
      </c>
      <c r="R3" s="46">
        <f>FLUID!V4</f>
        <v>2.3430999999999999E-3</v>
      </c>
      <c r="S3" s="46">
        <f>FLUID!W4</f>
        <v>1.7071E-3</v>
      </c>
      <c r="T3" s="46">
        <f>FLUID!X4</f>
        <v>1.2738999999999999E-3</v>
      </c>
    </row>
    <row r="4" spans="1:194" ht="21.75" thickBot="1" x14ac:dyDescent="0.4">
      <c r="A4" s="56" t="str">
        <f>FLUID!E5</f>
        <v>Se4</v>
      </c>
      <c r="B4" s="46">
        <f>FLUID!F5</f>
        <v>7.6378999999999993E-21</v>
      </c>
      <c r="C4" s="46">
        <f>FLUID!G5</f>
        <v>5.8909999999999998E-13</v>
      </c>
      <c r="D4" s="46">
        <f>FLUID!H5</f>
        <v>9.5009000000000004E-12</v>
      </c>
      <c r="E4" s="46">
        <f>FLUID!I5</f>
        <v>1.0218E-10</v>
      </c>
      <c r="F4" s="46">
        <f>FLUID!J5</f>
        <v>8.0013999999999999E-10</v>
      </c>
      <c r="G4" s="46">
        <f>FLUID!K5</f>
        <v>4.9136000000000001E-9</v>
      </c>
      <c r="H4" s="46">
        <f>FLUID!L5</f>
        <v>1.6022000000000001E-6</v>
      </c>
      <c r="I4" s="46">
        <f>FLUID!M5</f>
        <v>4.8679999999999998E-6</v>
      </c>
      <c r="J4" s="46">
        <f>FLUID!N5</f>
        <v>1.2958E-5</v>
      </c>
      <c r="K4" s="46">
        <f>FLUID!O5</f>
        <v>3.0632000000000001E-5</v>
      </c>
      <c r="L4" s="46">
        <f>FLUID!P5</f>
        <v>6.5072000000000003E-5</v>
      </c>
      <c r="M4" s="46">
        <f>FLUID!Q5</f>
        <v>4.3741E-4</v>
      </c>
      <c r="N4" s="46">
        <f>FLUID!R5</f>
        <v>5.0403000000000004E-4</v>
      </c>
      <c r="O4" s="46">
        <f>FLUID!S5</f>
        <v>5.0903999999999999E-4</v>
      </c>
      <c r="P4" s="46">
        <f>FLUID!T5</f>
        <v>4.5489E-4</v>
      </c>
      <c r="Q4" s="46">
        <f>FLUID!U5</f>
        <v>3.7399999999999998E-4</v>
      </c>
      <c r="R4" s="46">
        <f>FLUID!V5</f>
        <v>1.2596999999999999E-4</v>
      </c>
      <c r="S4" s="46">
        <f>FLUID!W5</f>
        <v>4.3619999999999999E-5</v>
      </c>
      <c r="T4" s="46">
        <f>FLUID!X5</f>
        <v>1.7612999999999999E-5</v>
      </c>
    </row>
    <row r="5" spans="1:194" ht="21.75" thickBot="1" x14ac:dyDescent="0.4">
      <c r="A5" s="56" t="str">
        <f>FLUID!E6</f>
        <v>Se5</v>
      </c>
      <c r="B5" s="46">
        <f>FLUID!F6</f>
        <v>1.3752E-17</v>
      </c>
      <c r="C5" s="46">
        <f>FLUID!G6</f>
        <v>1.9065000000000001E-10</v>
      </c>
      <c r="D5" s="46">
        <f>FLUID!H6</f>
        <v>2.2833000000000002E-9</v>
      </c>
      <c r="E5" s="46">
        <f>FLUID!I6</f>
        <v>1.8868999999999998E-8</v>
      </c>
      <c r="F5" s="46">
        <f>FLUID!J6</f>
        <v>1.1695E-7</v>
      </c>
      <c r="G5" s="46">
        <f>FLUID!K6</f>
        <v>5.8406999999999996E-7</v>
      </c>
      <c r="H5" s="46">
        <f>FLUID!L6</f>
        <v>1.0599000000000001E-4</v>
      </c>
      <c r="I5" s="46">
        <f>FLUID!M6</f>
        <v>2.8779000000000001E-4</v>
      </c>
      <c r="J5" s="46">
        <f>FLUID!N6</f>
        <v>6.8687999999999996E-4</v>
      </c>
      <c r="K5" s="46">
        <f>FLUID!O6</f>
        <v>1.4574E-3</v>
      </c>
      <c r="L5" s="46">
        <f>FLUID!P6</f>
        <v>2.7763000000000002E-3</v>
      </c>
      <c r="M5" s="46">
        <f>FLUID!Q6</f>
        <v>1.1018999999999999E-2</v>
      </c>
      <c r="N5" s="46">
        <f>FLUID!R6</f>
        <v>1.064E-2</v>
      </c>
      <c r="O5" s="46">
        <f>FLUID!S6</f>
        <v>8.8444000000000005E-3</v>
      </c>
      <c r="P5" s="46">
        <f>FLUID!T6</f>
        <v>6.4056E-3</v>
      </c>
      <c r="Q5" s="46">
        <f>FLUID!U6</f>
        <v>4.2385000000000001E-3</v>
      </c>
      <c r="R5" s="46">
        <f>FLUID!V6</f>
        <v>6.1879999999999997E-4</v>
      </c>
      <c r="S5" s="46">
        <f>FLUID!W6</f>
        <v>1.0581000000000001E-4</v>
      </c>
      <c r="T5" s="46">
        <f>FLUID!X6</f>
        <v>2.3858000000000001E-5</v>
      </c>
    </row>
    <row r="6" spans="1:194" s="63" customFormat="1" ht="21.75" thickBot="1" x14ac:dyDescent="0.4">
      <c r="A6" s="56" t="str">
        <f>FLUID!E7</f>
        <v>Se6</v>
      </c>
      <c r="B6" s="46">
        <f>FLUID!F7</f>
        <v>2.3151999999999998E-15</v>
      </c>
      <c r="C6" s="46">
        <f>FLUID!G7</f>
        <v>1.7347E-9</v>
      </c>
      <c r="D6" s="46">
        <f>FLUID!H7</f>
        <v>1.2705E-8</v>
      </c>
      <c r="E6" s="46">
        <f>FLUID!I7</f>
        <v>6.8158999999999995E-8</v>
      </c>
      <c r="F6" s="46">
        <f>FLUID!J7</f>
        <v>2.8845000000000002E-7</v>
      </c>
      <c r="G6" s="46">
        <f>FLUID!K7</f>
        <v>1.0280999999999999E-6</v>
      </c>
      <c r="H6" s="46">
        <f>FLUID!L7</f>
        <v>6.9690999999999994E-5</v>
      </c>
      <c r="I6" s="46">
        <f>FLUID!M7</f>
        <v>1.5655000000000001E-4</v>
      </c>
      <c r="J6" s="46">
        <f>FLUID!N7</f>
        <v>3.1220999999999999E-4</v>
      </c>
      <c r="K6" s="46">
        <f>FLUID!O7</f>
        <v>5.5734999999999997E-4</v>
      </c>
      <c r="L6" s="46">
        <f>FLUID!P7</f>
        <v>8.9707000000000003E-4</v>
      </c>
      <c r="M6" s="46">
        <f>FLUID!Q7</f>
        <v>1.7256999999999999E-3</v>
      </c>
      <c r="N6" s="46">
        <f>FLUID!R7</f>
        <v>1.3401999999999999E-3</v>
      </c>
      <c r="O6" s="46">
        <f>FLUID!S7</f>
        <v>8.8225E-4</v>
      </c>
      <c r="P6" s="46">
        <f>FLUID!T7</f>
        <v>4.9950000000000005E-4</v>
      </c>
      <c r="Q6" s="46">
        <f>FLUID!U7</f>
        <v>2.5712E-4</v>
      </c>
      <c r="R6" s="46">
        <f>FLUID!V7</f>
        <v>1.4467999999999999E-5</v>
      </c>
      <c r="S6" s="46">
        <f>FLUID!W7</f>
        <v>1.1112000000000001E-6</v>
      </c>
      <c r="T6" s="46">
        <f>FLUID!X7</f>
        <v>1.2944E-7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63" customFormat="1" ht="21.75" thickBot="1" x14ac:dyDescent="0.4">
      <c r="A7" s="56" t="str">
        <f>FLUID!E8</f>
        <v>Se7</v>
      </c>
      <c r="B7" s="46">
        <f>FLUID!F8</f>
        <v>2.5534000000000002E-16</v>
      </c>
      <c r="C7" s="46">
        <f>FLUID!G8</f>
        <v>3.8947999999999998E-10</v>
      </c>
      <c r="D7" s="46">
        <f>FLUID!H8</f>
        <v>3.1175E-9</v>
      </c>
      <c r="E7" s="46">
        <f>FLUID!I8</f>
        <v>1.7949999999999999E-8</v>
      </c>
      <c r="F7" s="46">
        <f>FLUID!J8</f>
        <v>8.0486999999999998E-8</v>
      </c>
      <c r="G7" s="46">
        <f>FLUID!K8</f>
        <v>3.0162000000000002E-7</v>
      </c>
      <c r="H7" s="46">
        <f>FLUID!L8</f>
        <v>2.4817999999999999E-5</v>
      </c>
      <c r="I7" s="46">
        <f>FLUID!M8</f>
        <v>5.7896999999999998E-5</v>
      </c>
      <c r="J7" s="46">
        <f>FLUID!N8</f>
        <v>1.1872E-4</v>
      </c>
      <c r="K7" s="46">
        <f>FLUID!O8</f>
        <v>2.1565000000000001E-4</v>
      </c>
      <c r="L7" s="46">
        <f>FLUID!P8</f>
        <v>3.4928999999999998E-4</v>
      </c>
      <c r="M7" s="46">
        <f>FLUID!Q8</f>
        <v>5.8067999999999998E-4</v>
      </c>
      <c r="N7" s="46">
        <f>FLUID!R8</f>
        <v>4.0905999999999999E-4</v>
      </c>
      <c r="O7" s="46">
        <f>FLUID!S8</f>
        <v>2.3866999999999999E-4</v>
      </c>
      <c r="P7" s="46">
        <f>FLUID!T8</f>
        <v>1.1739E-4</v>
      </c>
      <c r="Q7" s="46">
        <f>FLUID!U8</f>
        <v>5.1907000000000003E-5</v>
      </c>
      <c r="R7" s="46">
        <f>FLUID!V8</f>
        <v>1.5858999999999999E-6</v>
      </c>
      <c r="S7" s="46">
        <f>FLUID!W8</f>
        <v>7.2071999999999998E-8</v>
      </c>
      <c r="T7" s="46">
        <f>FLUID!X8</f>
        <v>5.4396000000000001E-9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63" customFormat="1" ht="21.75" thickBot="1" x14ac:dyDescent="0.4">
      <c r="A8" s="56" t="str">
        <f>FLUID!E9</f>
        <v>Se8</v>
      </c>
      <c r="B8" s="46">
        <f>FLUID!F9</f>
        <v>5.6206999999999997E-18</v>
      </c>
      <c r="C8" s="46">
        <f>FLUID!G9</f>
        <v>1.4855E-11</v>
      </c>
      <c r="D8" s="46">
        <f>FLUID!H9</f>
        <v>1.2668E-10</v>
      </c>
      <c r="E8" s="46">
        <f>FLUID!I9</f>
        <v>7.6573E-10</v>
      </c>
      <c r="F8" s="46">
        <f>FLUID!J9</f>
        <v>3.5687999999999999E-9</v>
      </c>
      <c r="G8" s="46">
        <f>FLUID!K9</f>
        <v>1.3825999999999999E-8</v>
      </c>
      <c r="H8" s="46">
        <f>FLUID!L9</f>
        <v>1.3120000000000001E-6</v>
      </c>
      <c r="I8" s="46">
        <f>FLUID!M9</f>
        <v>3.1472999999999999E-6</v>
      </c>
      <c r="J8" s="46">
        <f>FLUID!N9</f>
        <v>6.5763E-6</v>
      </c>
      <c r="K8" s="46">
        <f>FLUID!O9</f>
        <v>1.2055999999999999E-5</v>
      </c>
      <c r="L8" s="46">
        <f>FLUID!P9</f>
        <v>1.9502000000000001E-5</v>
      </c>
      <c r="M8" s="46">
        <f>FLUID!Q9</f>
        <v>2.7330000000000001E-5</v>
      </c>
      <c r="N8" s="46">
        <f>FLUID!R9</f>
        <v>1.7374E-5</v>
      </c>
      <c r="O8" s="46">
        <f>FLUID!S9</f>
        <v>8.9414000000000005E-6</v>
      </c>
      <c r="P8" s="46">
        <f>FLUID!T9</f>
        <v>3.8031999999999999E-6</v>
      </c>
      <c r="Q8" s="46">
        <f>FLUID!U9</f>
        <v>1.4384000000000001E-6</v>
      </c>
      <c r="R8" s="46">
        <f>FLUID!V9</f>
        <v>2.3513E-8</v>
      </c>
      <c r="S8" s="46">
        <f>FLUID!W9</f>
        <v>6.2489999999999998E-10</v>
      </c>
      <c r="T8" s="46">
        <f>FLUID!X9</f>
        <v>3.0264000000000003E-11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63" customFormat="1" ht="21.75" thickBot="1" x14ac:dyDescent="0.4">
      <c r="A9" s="56" t="str">
        <f>FLUID!E10</f>
        <v>Se2</v>
      </c>
      <c r="B9" s="46">
        <f>FLUID!F10</f>
        <v>5.9567000000000001E-18</v>
      </c>
      <c r="C9" s="46">
        <f>FLUID!G10</f>
        <v>1.1197E-10</v>
      </c>
      <c r="D9" s="46">
        <f>FLUID!H10</f>
        <v>1.5425E-9</v>
      </c>
      <c r="E9" s="46">
        <f>FLUID!I10</f>
        <v>1.4734E-8</v>
      </c>
      <c r="F9" s="46">
        <f>FLUID!J10</f>
        <v>1.0530999999999999E-7</v>
      </c>
      <c r="G9" s="46">
        <f>FLUID!K10</f>
        <v>5.9993000000000005E-7</v>
      </c>
      <c r="H9" s="46">
        <f>FLUID!L10</f>
        <v>1.4694E-4</v>
      </c>
      <c r="I9" s="46">
        <f>FLUID!M10</f>
        <v>4.2429000000000002E-4</v>
      </c>
      <c r="J9" s="46">
        <f>FLUID!N10</f>
        <v>1.0943000000000001E-3</v>
      </c>
      <c r="K9" s="46">
        <f>FLUID!O10</f>
        <v>2.5579000000000001E-3</v>
      </c>
      <c r="L9" s="46">
        <f>FLUID!P10</f>
        <v>5.4903E-3</v>
      </c>
      <c r="M9" s="46">
        <f>FLUID!Q10</f>
        <v>5.3856000000000001E-2</v>
      </c>
      <c r="N9" s="46">
        <f>FLUID!R10</f>
        <v>7.6957999999999999E-2</v>
      </c>
      <c r="O9" s="46">
        <f>FLUID!S10</f>
        <v>0.1009</v>
      </c>
      <c r="P9" s="46">
        <f>FLUID!T10</f>
        <v>0.12180000000000001</v>
      </c>
      <c r="Q9" s="46">
        <f>FLUID!U10</f>
        <v>0.13827999999999999</v>
      </c>
      <c r="R9" s="46">
        <f>FLUID!V10</f>
        <v>0.16958000000000001</v>
      </c>
      <c r="S9" s="46">
        <f>FLUID!W10</f>
        <v>0.17902000000000001</v>
      </c>
      <c r="T9" s="46">
        <f>FLUID!X10</f>
        <v>0.18295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63" customFormat="1" ht="21.75" thickBot="1" x14ac:dyDescent="0.4">
      <c r="A10" s="56" t="str">
        <f>FLUID!E11</f>
        <v>Se</v>
      </c>
      <c r="B10" s="46">
        <f>FLUID!F11</f>
        <v>6.4033E-36</v>
      </c>
      <c r="C10" s="46">
        <f>FLUID!G11</f>
        <v>2.5945999999999999E-23</v>
      </c>
      <c r="D10" s="46">
        <f>FLUID!H11</f>
        <v>2.6408000000000001E-21</v>
      </c>
      <c r="E10" s="46">
        <f>FLUID!I11</f>
        <v>1.4384E-19</v>
      </c>
      <c r="F10" s="46">
        <f>FLUID!J11</f>
        <v>4.7421000000000004E-18</v>
      </c>
      <c r="G10" s="46">
        <f>FLUID!K11</f>
        <v>1.0437E-16</v>
      </c>
      <c r="H10" s="46">
        <f>FLUID!L11</f>
        <v>1.5332999999999999E-12</v>
      </c>
      <c r="I10" s="46">
        <f>FLUID!M11</f>
        <v>9.8017999999999997E-12</v>
      </c>
      <c r="J10" s="46">
        <f>FLUID!N11</f>
        <v>5.2666000000000002E-11</v>
      </c>
      <c r="K10" s="46">
        <f>FLUID!O11</f>
        <v>2.4358E-10</v>
      </c>
      <c r="L10" s="46">
        <f>FLUID!P11</f>
        <v>9.9060000000000007E-10</v>
      </c>
      <c r="M10" s="46">
        <f>FLUID!Q11</f>
        <v>9.6452999999999997E-8</v>
      </c>
      <c r="N10" s="46">
        <f>FLUID!R11</f>
        <v>2.3846999999999999E-7</v>
      </c>
      <c r="O10" s="46">
        <f>FLUID!S11</f>
        <v>5.384E-7</v>
      </c>
      <c r="P10" s="46">
        <f>FLUID!T11</f>
        <v>1.1132E-6</v>
      </c>
      <c r="Q10" s="46">
        <f>FLUID!U11</f>
        <v>2.1393E-6</v>
      </c>
      <c r="R10" s="46">
        <f>FLUID!V11</f>
        <v>1.7793000000000001E-5</v>
      </c>
      <c r="S10" s="46">
        <f>FLUID!W11</f>
        <v>9.1658999999999998E-5</v>
      </c>
      <c r="T10" s="46">
        <f>FLUID!X11</f>
        <v>3.4886999999999999E-4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63" customFormat="1" ht="21.75" thickBot="1" x14ac:dyDescent="0.4">
      <c r="A11" s="56" t="str">
        <f>FLUID!E12</f>
        <v>Ga2Se</v>
      </c>
      <c r="B11" s="46">
        <f>FLUID!F12</f>
        <v>2.555E-9</v>
      </c>
      <c r="C11" s="46">
        <f>FLUID!G12</f>
        <v>4.7712E-5</v>
      </c>
      <c r="D11" s="46">
        <f>FLUID!H12</f>
        <v>2.1557E-4</v>
      </c>
      <c r="E11" s="46">
        <f>FLUID!I12</f>
        <v>7.7851000000000005E-4</v>
      </c>
      <c r="F11" s="46">
        <f>FLUID!J12</f>
        <v>2.3381000000000001E-3</v>
      </c>
      <c r="G11" s="46">
        <f>FLUID!K12</f>
        <v>5.9845999999999996E-3</v>
      </c>
      <c r="H11" s="46">
        <f>FLUID!L12</f>
        <v>5.2388999999999998E-2</v>
      </c>
      <c r="I11" s="46">
        <f>FLUID!M12</f>
        <v>6.318E-2</v>
      </c>
      <c r="J11" s="46">
        <f>FLUID!N12</f>
        <v>7.1395E-2</v>
      </c>
      <c r="K11" s="46">
        <f>FLUID!O12</f>
        <v>7.7561000000000005E-2</v>
      </c>
      <c r="L11" s="46">
        <f>FLUID!P12</f>
        <v>8.2317000000000001E-2</v>
      </c>
      <c r="M11" s="46">
        <f>FLUID!Q12</f>
        <v>9.3668000000000001E-2</v>
      </c>
      <c r="N11" s="46">
        <f>FLUID!R12</f>
        <v>9.5077999999999996E-2</v>
      </c>
      <c r="O11" s="46">
        <f>FLUID!S12</f>
        <v>9.6074000000000007E-2</v>
      </c>
      <c r="P11" s="46">
        <f>FLUID!T12</f>
        <v>9.6721000000000001E-2</v>
      </c>
      <c r="Q11" s="46">
        <f>FLUID!U12</f>
        <v>9.7151000000000001E-2</v>
      </c>
      <c r="R11" s="46">
        <f>FLUID!V12</f>
        <v>9.7881999999999997E-2</v>
      </c>
      <c r="S11" s="46">
        <f>FLUID!W12</f>
        <v>9.8086999999999994E-2</v>
      </c>
      <c r="T11" s="46">
        <f>FLUID!X12</f>
        <v>9.8153000000000004E-2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63" customFormat="1" ht="21.75" thickBot="1" x14ac:dyDescent="0.4">
      <c r="A12" s="56" t="str">
        <f>FLUID!E13</f>
        <v>Ar</v>
      </c>
      <c r="B12" s="46">
        <f>FLUID!F13</f>
        <v>0.2</v>
      </c>
      <c r="C12" s="46">
        <f>FLUID!G13</f>
        <v>0.2</v>
      </c>
      <c r="D12" s="46">
        <f>FLUID!H13</f>
        <v>0.2</v>
      </c>
      <c r="E12" s="46">
        <f>FLUID!I13</f>
        <v>0.2</v>
      </c>
      <c r="F12" s="46">
        <f>FLUID!J13</f>
        <v>0.2</v>
      </c>
      <c r="G12" s="46">
        <f>FLUID!K13</f>
        <v>0.2</v>
      </c>
      <c r="H12" s="46">
        <f>FLUID!L13</f>
        <v>0.2</v>
      </c>
      <c r="I12" s="46">
        <f>FLUID!M13</f>
        <v>0.2</v>
      </c>
      <c r="J12" s="46">
        <f>FLUID!N13</f>
        <v>0.2</v>
      </c>
      <c r="K12" s="46">
        <f>FLUID!O13</f>
        <v>0.2</v>
      </c>
      <c r="L12" s="46">
        <f>FLUID!P13</f>
        <v>0.2</v>
      </c>
      <c r="M12" s="46">
        <f>FLUID!Q13</f>
        <v>0.2</v>
      </c>
      <c r="N12" s="46">
        <f>FLUID!R13</f>
        <v>0.2</v>
      </c>
      <c r="O12" s="46">
        <f>FLUID!S13</f>
        <v>0.2</v>
      </c>
      <c r="P12" s="46">
        <f>FLUID!T13</f>
        <v>0.2</v>
      </c>
      <c r="Q12" s="46">
        <f>FLUID!U13</f>
        <v>0.2</v>
      </c>
      <c r="R12" s="46">
        <f>FLUID!V13</f>
        <v>0.2</v>
      </c>
      <c r="S12" s="46">
        <f>FLUID!W13</f>
        <v>0.2</v>
      </c>
      <c r="T12" s="46">
        <f>FLUID!X13</f>
        <v>0.2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63" customFormat="1" ht="21.75" thickBot="1" x14ac:dyDescent="0.4">
      <c r="A13" s="56" t="str">
        <f>FLUID!E14</f>
        <v>(l)Ga[l]</v>
      </c>
      <c r="B13" s="46">
        <f>FLUID!F14</f>
        <v>0.2</v>
      </c>
      <c r="C13" s="46">
        <f>FLUID!G14</f>
        <v>0.19989999999999999</v>
      </c>
      <c r="D13" s="46">
        <f>FLUID!H14</f>
        <v>0.19957</v>
      </c>
      <c r="E13" s="46">
        <f>FLUID!I14</f>
        <v>0.19844000000000001</v>
      </c>
      <c r="F13" s="46">
        <f>FLUID!J14</f>
        <v>0.19531999999999999</v>
      </c>
      <c r="G13" s="46">
        <f>FLUID!K14</f>
        <v>0.18803</v>
      </c>
      <c r="H13" s="46">
        <f>FLUID!L14</f>
        <v>9.5223000000000002E-2</v>
      </c>
      <c r="I13" s="46">
        <f>FLUID!M14</f>
        <v>7.3639999999999997E-2</v>
      </c>
      <c r="J13" s="46">
        <f>FLUID!N14</f>
        <v>5.7209999999999997E-2</v>
      </c>
      <c r="K13" s="46">
        <f>FLUID!O14</f>
        <v>4.4878000000000001E-2</v>
      </c>
      <c r="L13" s="46">
        <f>FLUID!P14</f>
        <v>3.5367000000000003E-2</v>
      </c>
      <c r="M13" s="46">
        <f>FLUID!Q14</f>
        <v>1.2664999999999999E-2</v>
      </c>
      <c r="N13" s="46">
        <f>FLUID!R14</f>
        <v>9.8434999999999998E-3</v>
      </c>
      <c r="O13" s="46">
        <f>FLUID!S14</f>
        <v>7.8524000000000007E-3</v>
      </c>
      <c r="P13" s="46">
        <f>FLUID!T14</f>
        <v>6.5586999999999998E-3</v>
      </c>
      <c r="Q13" s="46">
        <f>FLUID!U14</f>
        <v>5.6974E-3</v>
      </c>
      <c r="R13" s="46">
        <f>FLUID!V14</f>
        <v>4.2364000000000004E-3</v>
      </c>
      <c r="S13" s="46">
        <f>FLUID!W14</f>
        <v>3.8252E-3</v>
      </c>
      <c r="T13" s="46">
        <f>FLUID!X14</f>
        <v>3.6916000000000002E-3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63" customFormat="1" ht="21.75" thickBot="1" x14ac:dyDescent="0.4">
      <c r="A14" s="56" t="str">
        <f>FLUID!E15</f>
        <v>(l)Ge[l]</v>
      </c>
      <c r="B14" s="46">
        <f>FLUID!F15</f>
        <v>0.12</v>
      </c>
      <c r="C14" s="46">
        <f>FLUID!G15</f>
        <v>0.12</v>
      </c>
      <c r="D14" s="46">
        <f>FLUID!H15</f>
        <v>0.12</v>
      </c>
      <c r="E14" s="46">
        <f>FLUID!I15</f>
        <v>0.12</v>
      </c>
      <c r="F14" s="46">
        <f>FLUID!J15</f>
        <v>0.12</v>
      </c>
      <c r="G14" s="46">
        <f>FLUID!K15</f>
        <v>0.12</v>
      </c>
      <c r="H14" s="46">
        <f>FLUID!L15</f>
        <v>0.12</v>
      </c>
      <c r="I14" s="46">
        <f>FLUID!M15</f>
        <v>0.12</v>
      </c>
      <c r="J14" s="46">
        <f>FLUID!N15</f>
        <v>0.12</v>
      </c>
      <c r="K14" s="46">
        <f>FLUID!O15</f>
        <v>0.12</v>
      </c>
      <c r="L14" s="46">
        <f>FLUID!P15</f>
        <v>0.12</v>
      </c>
      <c r="M14" s="46">
        <f>FLUID!Q15</f>
        <v>0.12</v>
      </c>
      <c r="N14" s="46">
        <f>FLUID!R15</f>
        <v>0.12</v>
      </c>
      <c r="O14" s="46">
        <f>FLUID!S15</f>
        <v>0.12</v>
      </c>
      <c r="P14" s="46">
        <f>FLUID!T15</f>
        <v>0.12</v>
      </c>
      <c r="Q14" s="46">
        <f>FLUID!U15</f>
        <v>0.12</v>
      </c>
      <c r="R14" s="46">
        <f>FLUID!V15</f>
        <v>0.12</v>
      </c>
      <c r="S14" s="46">
        <f>FLUID!W15</f>
        <v>0.12</v>
      </c>
      <c r="T14" s="46">
        <f>FLUID!X15</f>
        <v>0.12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63" customFormat="1" ht="21.75" thickBot="1" x14ac:dyDescent="0.4">
      <c r="A15" s="56" t="str">
        <f>FLUID!E16</f>
        <v>(l)Se[l]</v>
      </c>
      <c r="B15" s="46">
        <f>FLUID!F16</f>
        <v>0.48</v>
      </c>
      <c r="C15" s="46">
        <f>FLUID!G16</f>
        <v>0.47994999999999999</v>
      </c>
      <c r="D15" s="46">
        <f>FLUID!H16</f>
        <v>0.47977999999999998</v>
      </c>
      <c r="E15" s="46">
        <f>FLUID!I16</f>
        <v>0.47921999999999998</v>
      </c>
      <c r="F15" s="46">
        <f>FLUID!J16</f>
        <v>0.47765999999999997</v>
      </c>
      <c r="G15" s="46">
        <f>FLUID!K16</f>
        <v>0.47399999999999998</v>
      </c>
      <c r="H15" s="46">
        <f>FLUID!L16</f>
        <v>0.42616999999999999</v>
      </c>
      <c r="I15" s="46">
        <f>FLUID!M16</f>
        <v>0.41313</v>
      </c>
      <c r="J15" s="46">
        <f>FLUID!N16</f>
        <v>0.40011999999999998</v>
      </c>
      <c r="K15" s="46">
        <f>FLUID!O16</f>
        <v>0.38482</v>
      </c>
      <c r="L15" s="46">
        <f>FLUID!P16</f>
        <v>0.36423</v>
      </c>
      <c r="M15" s="46">
        <f>FLUID!Q16</f>
        <v>0.20286000000000001</v>
      </c>
      <c r="N15" s="46">
        <f>FLUID!R16</f>
        <v>0.15876999999999999</v>
      </c>
      <c r="O15" s="46">
        <f>FLUID!S16</f>
        <v>0.12138</v>
      </c>
      <c r="P15" s="46">
        <f>FLUID!T16</f>
        <v>9.3656000000000003E-2</v>
      </c>
      <c r="Q15" s="46">
        <f>FLUID!U16</f>
        <v>7.3054999999999995E-2</v>
      </c>
      <c r="R15" s="46">
        <f>FLUID!V16</f>
        <v>3.2212999999999999E-2</v>
      </c>
      <c r="S15" s="46">
        <f>FLUID!W16</f>
        <v>1.7951000000000002E-2</v>
      </c>
      <c r="T15" s="46">
        <f>FLUID!X16</f>
        <v>1.1579000000000001E-2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63" customFormat="1" ht="21.75" thickBot="1" x14ac:dyDescent="0.4">
      <c r="A16" s="56" t="str">
        <f>FLUID!E17</f>
        <v>H(Аг)</v>
      </c>
      <c r="B16" s="46">
        <f>FLUID!F17</f>
        <v>-18.61</v>
      </c>
      <c r="C16" s="46">
        <f>FLUID!G17</f>
        <v>-18.760000000000002</v>
      </c>
      <c r="D16" s="46">
        <f>FLUID!H17</f>
        <v>-18.829999999999998</v>
      </c>
      <c r="E16" s="46">
        <f>FLUID!I17</f>
        <v>-18.899999999999999</v>
      </c>
      <c r="F16" s="46">
        <f>FLUID!J17</f>
        <v>-18.97</v>
      </c>
      <c r="G16" s="46">
        <f>FLUID!K17</f>
        <v>-19.059999999999999</v>
      </c>
      <c r="H16" s="46">
        <f>FLUID!L17</f>
        <v>-19.54</v>
      </c>
      <c r="I16" s="46">
        <f>FLUID!M17</f>
        <v>-19.649999999999999</v>
      </c>
      <c r="J16" s="46">
        <f>FLUID!N17</f>
        <v>-19.760000000000002</v>
      </c>
      <c r="K16" s="46">
        <f>FLUID!O17</f>
        <v>-19.850000000000001</v>
      </c>
      <c r="L16" s="46">
        <f>FLUID!P17</f>
        <v>-19.95</v>
      </c>
      <c r="M16" s="46">
        <f>FLUID!Q17</f>
        <v>-20.420000000000002</v>
      </c>
      <c r="N16" s="46">
        <f>FLUID!R17</f>
        <v>-20.54</v>
      </c>
      <c r="O16" s="46">
        <f>FLUID!S17</f>
        <v>-20.66</v>
      </c>
      <c r="P16" s="46">
        <f>FLUID!T17</f>
        <v>-20.76</v>
      </c>
      <c r="Q16" s="46">
        <f>FLUID!U17</f>
        <v>-20.85</v>
      </c>
      <c r="R16" s="46">
        <f>FLUID!V17</f>
        <v>-21.12</v>
      </c>
      <c r="S16" s="46">
        <f>FLUID!W17</f>
        <v>-21.34</v>
      </c>
      <c r="T16" s="46">
        <f>FLUID!X17</f>
        <v>-21.53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63" customFormat="1" ht="21.75" thickBot="1" x14ac:dyDescent="0.4">
      <c r="A17" s="56" t="str">
        <f>FLUID!E18</f>
        <v>H(Ga)</v>
      </c>
      <c r="B17" s="46">
        <f>FLUID!F18</f>
        <v>-6.2460000000000004</v>
      </c>
      <c r="C17" s="46">
        <f>FLUID!G18</f>
        <v>-7.1479999999999997</v>
      </c>
      <c r="D17" s="46">
        <f>FLUID!H18</f>
        <v>-7.3440000000000003</v>
      </c>
      <c r="E17" s="46">
        <f>FLUID!I18</f>
        <v>-7.5309999999999997</v>
      </c>
      <c r="F17" s="46">
        <f>FLUID!J18</f>
        <v>-7.7160000000000002</v>
      </c>
      <c r="G17" s="46">
        <f>FLUID!K18</f>
        <v>-7.907</v>
      </c>
      <c r="H17" s="46">
        <f>FLUID!L18</f>
        <v>-8.98</v>
      </c>
      <c r="I17" s="46">
        <f>FLUID!M18</f>
        <v>-9.3170000000000002</v>
      </c>
      <c r="J17" s="46">
        <f>FLUID!N18</f>
        <v>-9.6470000000000002</v>
      </c>
      <c r="K17" s="46">
        <f>FLUID!O18</f>
        <v>-9.9629999999999992</v>
      </c>
      <c r="L17" s="46">
        <f>FLUID!P18</f>
        <v>-10.26</v>
      </c>
      <c r="M17" s="46">
        <f>FLUID!Q18</f>
        <v>-11.28</v>
      </c>
      <c r="N17" s="46">
        <f>FLUID!R18</f>
        <v>-11.49</v>
      </c>
      <c r="O17" s="46">
        <f>FLUID!S18</f>
        <v>-11.66</v>
      </c>
      <c r="P17" s="46">
        <f>FLUID!T18</f>
        <v>-11.81</v>
      </c>
      <c r="Q17" s="46">
        <f>FLUID!U18</f>
        <v>-11.94</v>
      </c>
      <c r="R17" s="46">
        <f>FLUID!V18</f>
        <v>-12.34</v>
      </c>
      <c r="S17" s="46">
        <f>FLUID!W18</f>
        <v>-12.65</v>
      </c>
      <c r="T17" s="46">
        <f>FLUID!X18</f>
        <v>-12.92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63" customFormat="1" ht="21.75" thickBot="1" x14ac:dyDescent="0.4">
      <c r="A18" s="56" t="str">
        <f>FLUID!E19</f>
        <v>H(Ge)</v>
      </c>
      <c r="B18" s="46">
        <f>FLUID!F19</f>
        <v>5.367</v>
      </c>
      <c r="C18" s="46">
        <f>FLUID!G19</f>
        <v>0.73660000000000003</v>
      </c>
      <c r="D18" s="46">
        <f>FLUID!H19</f>
        <v>-5.534E-2</v>
      </c>
      <c r="E18" s="46">
        <f>FLUID!I19</f>
        <v>-0.75560000000000005</v>
      </c>
      <c r="F18" s="46">
        <f>FLUID!J19</f>
        <v>-1.3779999999999999</v>
      </c>
      <c r="G18" s="46">
        <f>FLUID!K19</f>
        <v>-1.93</v>
      </c>
      <c r="H18" s="46">
        <f>FLUID!L19</f>
        <v>-3.5449999999999999</v>
      </c>
      <c r="I18" s="46">
        <f>FLUID!M19</f>
        <v>-3.8580000000000001</v>
      </c>
      <c r="J18" s="46">
        <f>FLUID!N19</f>
        <v>-4.1520000000000001</v>
      </c>
      <c r="K18" s="46">
        <f>FLUID!O19</f>
        <v>-4.423</v>
      </c>
      <c r="L18" s="46">
        <f>FLUID!P19</f>
        <v>-4.6680000000000001</v>
      </c>
      <c r="M18" s="46">
        <f>FLUID!Q19</f>
        <v>-5.2690000000000001</v>
      </c>
      <c r="N18" s="46">
        <f>FLUID!R19</f>
        <v>-5.3449999999999998</v>
      </c>
      <c r="O18" s="46">
        <f>FLUID!S19</f>
        <v>-5.4130000000000003</v>
      </c>
      <c r="P18" s="46">
        <f>FLUID!T19</f>
        <v>-5.4939999999999998</v>
      </c>
      <c r="Q18" s="46">
        <f>FLUID!U19</f>
        <v>-5.5880000000000001</v>
      </c>
      <c r="R18" s="46">
        <f>FLUID!V19</f>
        <v>-6.0519999999999996</v>
      </c>
      <c r="S18" s="46">
        <f>FLUID!W19</f>
        <v>-6.5549999999999997</v>
      </c>
      <c r="T18" s="46">
        <f>FLUID!X19</f>
        <v>-7.0309999999999997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63" customFormat="1" ht="22.5" customHeight="1" thickBot="1" x14ac:dyDescent="0.4">
      <c r="A19" s="56" t="str">
        <f>FLUID!E20</f>
        <v>H(Se)</v>
      </c>
      <c r="B19" s="46">
        <f>FLUID!F20</f>
        <v>-4.8239999999999998</v>
      </c>
      <c r="C19" s="46">
        <f>FLUID!G20</f>
        <v>-5.5949999999999998</v>
      </c>
      <c r="D19" s="46">
        <f>FLUID!H20</f>
        <v>-5.7880000000000003</v>
      </c>
      <c r="E19" s="46">
        <f>FLUID!I20</f>
        <v>-5.9749999999999996</v>
      </c>
      <c r="F19" s="46">
        <f>FLUID!J20</f>
        <v>-6.1550000000000002</v>
      </c>
      <c r="G19" s="46">
        <f>FLUID!K20</f>
        <v>-6.3259999999999996</v>
      </c>
      <c r="H19" s="46">
        <f>FLUID!L20</f>
        <v>-6.8819999999999997</v>
      </c>
      <c r="I19" s="46">
        <f>FLUID!M20</f>
        <v>-7.0060000000000002</v>
      </c>
      <c r="J19" s="46">
        <f>FLUID!N20</f>
        <v>-7.1319999999999997</v>
      </c>
      <c r="K19" s="46">
        <f>FLUID!O20</f>
        <v>-7.2610000000000001</v>
      </c>
      <c r="L19" s="46">
        <f>FLUID!P20</f>
        <v>-7.3940000000000001</v>
      </c>
      <c r="M19" s="46">
        <f>FLUID!Q20</f>
        <v>-8.0410000000000004</v>
      </c>
      <c r="N19" s="46">
        <f>FLUID!R20</f>
        <v>-8.2520000000000007</v>
      </c>
      <c r="O19" s="46">
        <f>FLUID!S20</f>
        <v>-8.4819999999999993</v>
      </c>
      <c r="P19" s="46">
        <f>FLUID!T20</f>
        <v>-8.7279999999999998</v>
      </c>
      <c r="Q19" s="46">
        <f>FLUID!U20</f>
        <v>-8.9819999999999993</v>
      </c>
      <c r="R19" s="46">
        <f>FLUID!V20</f>
        <v>-9.968</v>
      </c>
      <c r="S19" s="46">
        <f>FLUID!W20</f>
        <v>-10.83</v>
      </c>
      <c r="T19" s="46">
        <f>FLUID!X20</f>
        <v>-11.56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63" customFormat="1" ht="22.5" customHeight="1" thickTop="1" thickBot="1" x14ac:dyDescent="0.4">
      <c r="A20" s="88">
        <f>FLUID!E21</f>
        <v>0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63" customFormat="1" ht="22.5" customHeight="1" thickTop="1" thickBot="1" x14ac:dyDescent="0.4">
      <c r="A21" s="88">
        <f>FLUID!E22</f>
        <v>0</v>
      </c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63" customFormat="1" ht="22.5" customHeight="1" thickTop="1" thickBot="1" x14ac:dyDescent="0.4">
      <c r="A22" s="88">
        <f>FLUID!E23</f>
        <v>0</v>
      </c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63" customFormat="1" ht="22.5" customHeight="1" thickTop="1" thickBot="1" x14ac:dyDescent="0.4">
      <c r="A23" s="88">
        <f>FLUID!E24</f>
        <v>0</v>
      </c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63" customFormat="1" ht="22.5" customHeight="1" thickTop="1" thickBot="1" x14ac:dyDescent="0.4">
      <c r="A24" s="88">
        <f>FLUID!E25</f>
        <v>0</v>
      </c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63" customFormat="1" ht="22.5" customHeight="1" thickTop="1" thickBot="1" x14ac:dyDescent="0.4">
      <c r="A25" s="88">
        <f>FLUID!E26</f>
        <v>0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63" customFormat="1" ht="22.5" customHeight="1" thickTop="1" thickBot="1" x14ac:dyDescent="0.4">
      <c r="A26" s="88">
        <f>FLUID!E27</f>
        <v>0</v>
      </c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63" customFormat="1" ht="22.5" customHeight="1" thickTop="1" thickBot="1" x14ac:dyDescent="0.4">
      <c r="A27" s="88">
        <f>FLUID!E28</f>
        <v>0</v>
      </c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63" customFormat="1" ht="22.5" customHeight="1" thickTop="1" thickBot="1" x14ac:dyDescent="0.4">
      <c r="A28" s="88">
        <f>FLUID!E29</f>
        <v>0</v>
      </c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63" customFormat="1" ht="22.5" customHeight="1" thickTop="1" thickBot="1" x14ac:dyDescent="0.4">
      <c r="A29" s="88">
        <f>FLUID!E30</f>
        <v>0</v>
      </c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63" customFormat="1" ht="22.5" customHeight="1" thickTop="1" thickBot="1" x14ac:dyDescent="0.4">
      <c r="A30" s="88">
        <f>FLUID!E31</f>
        <v>0</v>
      </c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63" customFormat="1" ht="22.5" customHeight="1" thickTop="1" thickBot="1" x14ac:dyDescent="0.4">
      <c r="A31" s="88">
        <f>FLUID!E32</f>
        <v>0</v>
      </c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63" customFormat="1" ht="22.5" customHeight="1" thickTop="1" thickBot="1" x14ac:dyDescent="0.4">
      <c r="A32" s="88">
        <f>FLUID!E33</f>
        <v>1</v>
      </c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thickTop="1" thickBot="1" x14ac:dyDescent="0.4"/>
    <row r="34" spans="1:194" ht="22.5" thickTop="1" thickBot="1" x14ac:dyDescent="0.4">
      <c r="A34" s="56" t="s">
        <v>56</v>
      </c>
      <c r="B34" s="88">
        <f>SOLIDDIFER!F3</f>
        <v>298.2</v>
      </c>
      <c r="C34" s="88">
        <f>SOLIDDIFER!G3</f>
        <v>331.5</v>
      </c>
      <c r="D34" s="88">
        <f>SOLIDDIFER!H3</f>
        <v>364.9</v>
      </c>
      <c r="E34" s="88">
        <f>SOLIDDIFER!I3</f>
        <v>398.3</v>
      </c>
      <c r="F34" s="88">
        <f>SOLIDDIFER!J3</f>
        <v>431.7</v>
      </c>
      <c r="G34" s="88">
        <f>SOLIDDIFER!K3</f>
        <v>465.1</v>
      </c>
      <c r="H34" s="88">
        <f>SOLIDDIFER!L3</f>
        <v>498.5</v>
      </c>
      <c r="I34" s="88">
        <f>SOLIDDIFER!M3</f>
        <v>531.79999999999995</v>
      </c>
      <c r="J34" s="88">
        <f>SOLIDDIFER!N3</f>
        <v>565.20000000000005</v>
      </c>
      <c r="K34" s="88">
        <f>SOLIDDIFER!O3</f>
        <v>698.8</v>
      </c>
      <c r="L34" s="88">
        <f>SOLIDDIFER!P3</f>
        <v>832.3</v>
      </c>
      <c r="M34" s="88">
        <f>SOLIDDIFER!Q3</f>
        <v>965.8</v>
      </c>
      <c r="N34" s="88">
        <f>SOLIDDIFER!R3</f>
        <v>999.2</v>
      </c>
      <c r="O34" s="88">
        <f>SOLIDDIFER!S3</f>
        <v>1033</v>
      </c>
      <c r="P34" s="88">
        <f>SOLIDDIFER!T3</f>
        <v>1066</v>
      </c>
      <c r="Q34" s="88">
        <f>SOLIDDIFER!U3</f>
        <v>1099</v>
      </c>
      <c r="R34" s="88">
        <f>SOLIDDIFER!V3</f>
        <v>1233</v>
      </c>
      <c r="S34" s="88">
        <f>SOLIDDIFER!W3</f>
        <v>1366</v>
      </c>
      <c r="T34" s="88">
        <f>SOLIDDIFER!X3</f>
        <v>1400</v>
      </c>
      <c r="U34" s="88">
        <f>SOLIDDIFER!Y3</f>
        <v>1433</v>
      </c>
      <c r="V34" s="88">
        <f>SOLIDDIFER!Z3</f>
        <v>1467</v>
      </c>
      <c r="W34" s="88">
        <f>SOLIDDIFER!AA3</f>
        <v>1500</v>
      </c>
    </row>
    <row r="35" spans="1:194" ht="21.75" thickBot="1" x14ac:dyDescent="0.4">
      <c r="A35" s="56" t="str">
        <f>SOLIDDIFER!E4</f>
        <v>*Ge[l]</v>
      </c>
      <c r="B35" s="46">
        <f>SOLIDDIFER!F4</f>
        <v>0</v>
      </c>
      <c r="C35" s="46">
        <f>SOLIDDIFER!G4</f>
        <v>0</v>
      </c>
      <c r="D35" s="46">
        <f>SOLIDDIFER!H4</f>
        <v>0</v>
      </c>
      <c r="E35" s="46">
        <f>SOLIDDIFER!I4</f>
        <v>0</v>
      </c>
      <c r="F35" s="46">
        <f>SOLIDDIFER!J4</f>
        <v>0</v>
      </c>
      <c r="G35" s="46">
        <f>SOLIDDIFER!K4</f>
        <v>0</v>
      </c>
      <c r="H35" s="46">
        <f>SOLIDDIFER!L4</f>
        <v>0</v>
      </c>
      <c r="I35" s="46">
        <f>SOLIDDIFER!M4</f>
        <v>0</v>
      </c>
      <c r="J35" s="46">
        <f>SOLIDDIFER!N4</f>
        <v>5.4464E-24</v>
      </c>
      <c r="K35" s="46">
        <f>SOLIDDIFER!O4</f>
        <v>2.7126E-13</v>
      </c>
      <c r="L35" s="46">
        <f>SOLIDDIFER!P4</f>
        <v>4.3304999999999999E-11</v>
      </c>
      <c r="M35" s="46">
        <f>SOLIDDIFER!Q4</f>
        <v>1.4366E-9</v>
      </c>
      <c r="N35" s="46">
        <f>SOLIDDIFER!R4</f>
        <v>2.4853000000000001E-9</v>
      </c>
      <c r="O35" s="46">
        <f>SOLIDDIFER!S4</f>
        <v>4.4833E-9</v>
      </c>
      <c r="P35" s="46">
        <f>SOLIDDIFER!T4</f>
        <v>1.1865000000000001E-8</v>
      </c>
      <c r="Q35" s="46">
        <f>SOLIDDIFER!U4</f>
        <v>2.9401E-8</v>
      </c>
      <c r="R35" s="46">
        <f>SOLIDDIFER!V4</f>
        <v>5.9993999999999999E-2</v>
      </c>
      <c r="S35" s="46">
        <f>SOLIDDIFER!W4</f>
        <v>0.06</v>
      </c>
      <c r="T35" s="46">
        <f>SOLIDDIFER!X4</f>
        <v>0.06</v>
      </c>
      <c r="U35" s="46">
        <f>SOLIDDIFER!Y4</f>
        <v>0.06</v>
      </c>
      <c r="V35" s="46">
        <f>SOLIDDIFER!Z4</f>
        <v>0.06</v>
      </c>
      <c r="W35" s="46">
        <f>SOLIDDIFER!AA4</f>
        <v>0.06</v>
      </c>
    </row>
    <row r="36" spans="1:194" ht="21.75" thickBot="1" x14ac:dyDescent="0.4">
      <c r="A36" s="56" t="str">
        <f>SOLIDDIFER!E5</f>
        <v>*Ge</v>
      </c>
      <c r="B36" s="46">
        <f>SOLIDDIFER!F5</f>
        <v>0</v>
      </c>
      <c r="C36" s="46">
        <f>SOLIDDIFER!G5</f>
        <v>0</v>
      </c>
      <c r="D36" s="46">
        <f>SOLIDDIFER!H5</f>
        <v>0</v>
      </c>
      <c r="E36" s="46">
        <f>SOLIDDIFER!I5</f>
        <v>2.4355E-24</v>
      </c>
      <c r="F36" s="46">
        <f>SOLIDDIFER!J5</f>
        <v>9.869100000000001E-16</v>
      </c>
      <c r="G36" s="46">
        <f>SOLIDDIFER!K5</f>
        <v>1.9321999999999999E-11</v>
      </c>
      <c r="H36" s="46">
        <f>SOLIDDIFER!L5</f>
        <v>4.5759999999999999E-9</v>
      </c>
      <c r="I36" s="46">
        <f>SOLIDDIFER!M5</f>
        <v>0.06</v>
      </c>
      <c r="J36" s="46">
        <f>SOLIDDIFER!N5</f>
        <v>0.06</v>
      </c>
      <c r="K36" s="46">
        <f>SOLIDDIFER!O5</f>
        <v>0.06</v>
      </c>
      <c r="L36" s="46">
        <f>SOLIDDIFER!P5</f>
        <v>0.06</v>
      </c>
      <c r="M36" s="46">
        <f>SOLIDDIFER!Q5</f>
        <v>0.06</v>
      </c>
      <c r="N36" s="46">
        <f>SOLIDDIFER!R5</f>
        <v>0.06</v>
      </c>
      <c r="O36" s="46">
        <f>SOLIDDIFER!S5</f>
        <v>0.06</v>
      </c>
      <c r="P36" s="46">
        <f>SOLIDDIFER!T5</f>
        <v>0.06</v>
      </c>
      <c r="Q36" s="46">
        <f>SOLIDDIFER!U5</f>
        <v>0.06</v>
      </c>
      <c r="R36" s="46">
        <f>SOLIDDIFER!V5</f>
        <v>5.8922000000000001E-6</v>
      </c>
      <c r="S36" s="46">
        <f>SOLIDDIFER!W5</f>
        <v>1.9743E-8</v>
      </c>
      <c r="T36" s="46">
        <f>SOLIDDIFER!X5</f>
        <v>1.4553E-8</v>
      </c>
      <c r="U36" s="46">
        <f>SOLIDDIFER!Y5</f>
        <v>8.2159000000000001E-9</v>
      </c>
      <c r="V36" s="46">
        <f>SOLIDDIFER!Z5</f>
        <v>7.8679999999999997E-9</v>
      </c>
      <c r="W36" s="46">
        <f>SOLIDDIFER!AA5</f>
        <v>6.0850000000000004E-9</v>
      </c>
    </row>
    <row r="37" spans="1:194" ht="21.75" thickBot="1" x14ac:dyDescent="0.4">
      <c r="A37" s="56" t="str">
        <f>SOLIDDIFER!E6</f>
        <v>*GeSe</v>
      </c>
      <c r="B37" s="46">
        <f>SOLIDDIFER!F6</f>
        <v>0.06</v>
      </c>
      <c r="C37" s="46">
        <f>SOLIDDIFER!G6</f>
        <v>0.06</v>
      </c>
      <c r="D37" s="46">
        <f>SOLIDDIFER!H6</f>
        <v>0.12</v>
      </c>
      <c r="E37" s="46">
        <f>SOLIDDIFER!I6</f>
        <v>0.12</v>
      </c>
      <c r="F37" s="46">
        <f>SOLIDDIFER!J6</f>
        <v>0.12</v>
      </c>
      <c r="G37" s="46">
        <f>SOLIDDIFER!K6</f>
        <v>0.12</v>
      </c>
      <c r="H37" s="46">
        <f>SOLIDDIFER!L6</f>
        <v>0.12</v>
      </c>
      <c r="I37" s="46">
        <f>SOLIDDIFER!M6</f>
        <v>8.4004999999999997E-9</v>
      </c>
      <c r="J37" s="46">
        <f>SOLIDDIFER!N6</f>
        <v>8.1328000000000001E-11</v>
      </c>
      <c r="K37" s="46">
        <f>SOLIDDIFER!O6</f>
        <v>7.2548999999999998E-26</v>
      </c>
      <c r="L37" s="46">
        <f>SOLIDDIFER!P6</f>
        <v>0</v>
      </c>
      <c r="M37" s="46">
        <f>SOLIDDIFER!Q6</f>
        <v>0</v>
      </c>
      <c r="N37" s="46">
        <f>SOLIDDIFER!R6</f>
        <v>0</v>
      </c>
      <c r="O37" s="46">
        <f>SOLIDDIFER!S6</f>
        <v>0</v>
      </c>
      <c r="P37" s="46">
        <f>SOLIDDIFER!T6</f>
        <v>0</v>
      </c>
      <c r="Q37" s="46">
        <f>SOLIDDIFER!U6</f>
        <v>0</v>
      </c>
      <c r="R37" s="46">
        <f>SOLIDDIFER!V6</f>
        <v>0</v>
      </c>
      <c r="S37" s="46">
        <f>SOLIDDIFER!W6</f>
        <v>0</v>
      </c>
      <c r="T37" s="46">
        <f>SOLIDDIFER!X6</f>
        <v>0</v>
      </c>
      <c r="U37" s="46">
        <f>SOLIDDIFER!Y6</f>
        <v>0</v>
      </c>
      <c r="V37" s="46">
        <f>SOLIDDIFER!Z6</f>
        <v>0</v>
      </c>
      <c r="W37" s="46">
        <f>SOLIDDIFER!AA6</f>
        <v>0</v>
      </c>
    </row>
    <row r="38" spans="1:194" ht="21.75" thickBot="1" x14ac:dyDescent="0.4">
      <c r="A38" s="56" t="str">
        <f>SOLIDDIFER!E7</f>
        <v>*Ga</v>
      </c>
      <c r="B38" s="46">
        <f>SOLIDDIFER!F7</f>
        <v>0</v>
      </c>
      <c r="C38" s="46">
        <f>SOLIDDIFER!G7</f>
        <v>0</v>
      </c>
      <c r="D38" s="46">
        <f>SOLIDDIFER!H7</f>
        <v>0</v>
      </c>
      <c r="E38" s="46">
        <f>SOLIDDIFER!I7</f>
        <v>0</v>
      </c>
      <c r="F38" s="46">
        <f>SOLIDDIFER!J7</f>
        <v>0</v>
      </c>
      <c r="G38" s="46">
        <f>SOLIDDIFER!K7</f>
        <v>0</v>
      </c>
      <c r="H38" s="46">
        <f>SOLIDDIFER!L7</f>
        <v>0</v>
      </c>
      <c r="I38" s="46">
        <f>SOLIDDIFER!M7</f>
        <v>0.15512999999999999</v>
      </c>
      <c r="J38" s="46">
        <f>SOLIDDIFER!N7</f>
        <v>0.2</v>
      </c>
      <c r="K38" s="46">
        <f>SOLIDDIFER!O7</f>
        <v>0.2</v>
      </c>
      <c r="L38" s="46">
        <f>SOLIDDIFER!P7</f>
        <v>0.2</v>
      </c>
      <c r="M38" s="46">
        <f>SOLIDDIFER!Q7</f>
        <v>0.2</v>
      </c>
      <c r="N38" s="46">
        <f>SOLIDDIFER!R7</f>
        <v>0.2</v>
      </c>
      <c r="O38" s="46">
        <f>SOLIDDIFER!S7</f>
        <v>0.2</v>
      </c>
      <c r="P38" s="46">
        <f>SOLIDDIFER!T7</f>
        <v>0.2</v>
      </c>
      <c r="Q38" s="46">
        <f>SOLIDDIFER!U7</f>
        <v>0.2</v>
      </c>
      <c r="R38" s="46">
        <f>SOLIDDIFER!V7</f>
        <v>0.2</v>
      </c>
      <c r="S38" s="46">
        <f>SOLIDDIFER!W7</f>
        <v>0.2</v>
      </c>
      <c r="T38" s="46">
        <f>SOLIDDIFER!X7</f>
        <v>0.2</v>
      </c>
      <c r="U38" s="46">
        <f>SOLIDDIFER!Y7</f>
        <v>0.2</v>
      </c>
      <c r="V38" s="46">
        <f>SOLIDDIFER!Z7</f>
        <v>0.2</v>
      </c>
      <c r="W38" s="46">
        <f>SOLIDDIFER!AA7</f>
        <v>0.2</v>
      </c>
    </row>
    <row r="39" spans="1:194" ht="21.75" thickBot="1" x14ac:dyDescent="0.4">
      <c r="A39" s="56" t="str">
        <f>SOLIDDIFER!E8</f>
        <v>*Ge[c]</v>
      </c>
      <c r="B39" s="46">
        <f>SOLIDDIFER!F8</f>
        <v>0</v>
      </c>
      <c r="C39" s="46">
        <f>SOLIDDIFER!G8</f>
        <v>0</v>
      </c>
      <c r="D39" s="46">
        <f>SOLIDDIFER!H8</f>
        <v>0</v>
      </c>
      <c r="E39" s="46">
        <f>SOLIDDIFER!I8</f>
        <v>2.4355E-24</v>
      </c>
      <c r="F39" s="46">
        <f>SOLIDDIFER!J8</f>
        <v>9.869100000000001E-16</v>
      </c>
      <c r="G39" s="46">
        <f>SOLIDDIFER!K8</f>
        <v>1.9321999999999999E-11</v>
      </c>
      <c r="H39" s="46">
        <f>SOLIDDIFER!L8</f>
        <v>4.5759999999999999E-9</v>
      </c>
      <c r="I39" s="46">
        <f>SOLIDDIFER!M8</f>
        <v>0.06</v>
      </c>
      <c r="J39" s="46">
        <f>SOLIDDIFER!N8</f>
        <v>0.06</v>
      </c>
      <c r="K39" s="46">
        <f>SOLIDDIFER!O8</f>
        <v>0.06</v>
      </c>
      <c r="L39" s="46">
        <f>SOLIDDIFER!P8</f>
        <v>0.06</v>
      </c>
      <c r="M39" s="46">
        <f>SOLIDDIFER!Q8</f>
        <v>0.06</v>
      </c>
      <c r="N39" s="46">
        <f>SOLIDDIFER!R8</f>
        <v>0.06</v>
      </c>
      <c r="O39" s="46">
        <f>SOLIDDIFER!S8</f>
        <v>0.06</v>
      </c>
      <c r="P39" s="46">
        <f>SOLIDDIFER!T8</f>
        <v>0.06</v>
      </c>
      <c r="Q39" s="46">
        <f>SOLIDDIFER!U8</f>
        <v>0.06</v>
      </c>
      <c r="R39" s="46">
        <f>SOLIDDIFER!V8</f>
        <v>5.8922000000000001E-6</v>
      </c>
      <c r="S39" s="46">
        <f>SOLIDDIFER!W8</f>
        <v>1.9743E-8</v>
      </c>
      <c r="T39" s="46">
        <f>SOLIDDIFER!X8</f>
        <v>1.4553E-8</v>
      </c>
      <c r="U39" s="46">
        <f>SOLIDDIFER!Y8</f>
        <v>8.2159000000000001E-9</v>
      </c>
      <c r="V39" s="46">
        <f>SOLIDDIFER!Z8</f>
        <v>7.8679999999999997E-9</v>
      </c>
      <c r="W39" s="46">
        <f>SOLIDDIFER!AA8</f>
        <v>6.0850000000000004E-9</v>
      </c>
    </row>
    <row r="40" spans="1:194" ht="21.75" thickBot="1" x14ac:dyDescent="0.4">
      <c r="A40" s="56" t="str">
        <f>SOLIDDIFER!E9</f>
        <v>*Se[m]</v>
      </c>
      <c r="B40" s="46">
        <f>SOLIDDIFER!F9</f>
        <v>8.7129E-15</v>
      </c>
      <c r="C40" s="46">
        <f>SOLIDDIFER!G9</f>
        <v>9.8545999999999994E-9</v>
      </c>
      <c r="D40" s="46">
        <f>SOLIDDIFER!H9</f>
        <v>0.06</v>
      </c>
      <c r="E40" s="46">
        <f>SOLIDDIFER!I9</f>
        <v>0.06</v>
      </c>
      <c r="F40" s="46">
        <f>SOLIDDIFER!J9</f>
        <v>0.06</v>
      </c>
      <c r="G40" s="46">
        <f>SOLIDDIFER!K9</f>
        <v>0.06</v>
      </c>
      <c r="H40" s="46">
        <f>SOLIDDIFER!L9</f>
        <v>0.06</v>
      </c>
      <c r="I40" s="46">
        <f>SOLIDDIFER!M9</f>
        <v>0.41270000000000001</v>
      </c>
      <c r="J40" s="46">
        <f>SOLIDDIFER!N9</f>
        <v>0.47999000000000003</v>
      </c>
      <c r="K40" s="46">
        <f>SOLIDDIFER!O9</f>
        <v>0.48</v>
      </c>
      <c r="L40" s="46">
        <f>SOLIDDIFER!P9</f>
        <v>0.48</v>
      </c>
      <c r="M40" s="46">
        <f>SOLIDDIFER!Q9</f>
        <v>0.48</v>
      </c>
      <c r="N40" s="46">
        <f>SOLIDDIFER!R9</f>
        <v>0.48</v>
      </c>
      <c r="O40" s="46">
        <f>SOLIDDIFER!S9</f>
        <v>0.48</v>
      </c>
      <c r="P40" s="46">
        <f>SOLIDDIFER!T9</f>
        <v>0.48</v>
      </c>
      <c r="Q40" s="46">
        <f>SOLIDDIFER!U9</f>
        <v>0.48</v>
      </c>
      <c r="R40" s="46">
        <f>SOLIDDIFER!V9</f>
        <v>0.48</v>
      </c>
      <c r="S40" s="46">
        <f>SOLIDDIFER!W9</f>
        <v>0.48</v>
      </c>
      <c r="T40" s="46">
        <f>SOLIDDIFER!X9</f>
        <v>0.48</v>
      </c>
      <c r="U40" s="46">
        <f>SOLIDDIFER!Y9</f>
        <v>0.48</v>
      </c>
      <c r="V40" s="46">
        <f>SOLIDDIFER!Z9</f>
        <v>0.48</v>
      </c>
      <c r="W40" s="46">
        <f>SOLIDDIFER!AA9</f>
        <v>0.48</v>
      </c>
    </row>
    <row r="41" spans="1:194" ht="21.75" thickBot="1" x14ac:dyDescent="0.4">
      <c r="A41" s="56" t="str">
        <f>SOLIDDIFER!E10</f>
        <v>*GeSe2</v>
      </c>
      <c r="B41" s="46">
        <f>SOLIDDIFER!F10</f>
        <v>0.06</v>
      </c>
      <c r="C41" s="46">
        <f>SOLIDDIFER!G10</f>
        <v>0.06</v>
      </c>
      <c r="D41" s="46">
        <f>SOLIDDIFER!H10</f>
        <v>3.7176000000000002E-10</v>
      </c>
      <c r="E41" s="46">
        <f>SOLIDDIFER!I10</f>
        <v>3.6682999999999996E-12</v>
      </c>
      <c r="F41" s="46">
        <f>SOLIDDIFER!J10</f>
        <v>2.1788000000000001E-17</v>
      </c>
      <c r="G41" s="46">
        <f>SOLIDDIFER!K10</f>
        <v>1.974E-29</v>
      </c>
      <c r="H41" s="46">
        <f>SOLIDDIFER!L10</f>
        <v>0</v>
      </c>
      <c r="I41" s="46">
        <f>SOLIDDIFER!M10</f>
        <v>0</v>
      </c>
      <c r="J41" s="46">
        <f>SOLIDDIFER!N10</f>
        <v>0</v>
      </c>
      <c r="K41" s="46">
        <f>SOLIDDIFER!O10</f>
        <v>0</v>
      </c>
      <c r="L41" s="46">
        <f>SOLIDDIFER!P10</f>
        <v>0</v>
      </c>
      <c r="M41" s="46">
        <f>SOLIDDIFER!Q10</f>
        <v>0</v>
      </c>
      <c r="N41" s="46">
        <f>SOLIDDIFER!R10</f>
        <v>0</v>
      </c>
      <c r="O41" s="46">
        <f>SOLIDDIFER!S10</f>
        <v>0</v>
      </c>
      <c r="P41" s="46">
        <f>SOLIDDIFER!T10</f>
        <v>0</v>
      </c>
      <c r="Q41" s="46">
        <f>SOLIDDIFER!U10</f>
        <v>0</v>
      </c>
      <c r="R41" s="46">
        <f>SOLIDDIFER!V10</f>
        <v>0</v>
      </c>
      <c r="S41" s="46">
        <f>SOLIDDIFER!W10</f>
        <v>0</v>
      </c>
      <c r="T41" s="46">
        <f>SOLIDDIFER!X10</f>
        <v>0</v>
      </c>
      <c r="U41" s="46">
        <f>SOLIDDIFER!Y10</f>
        <v>0</v>
      </c>
      <c r="V41" s="46">
        <f>SOLIDDIFER!Z10</f>
        <v>0</v>
      </c>
      <c r="W41" s="46">
        <f>SOLIDDIFER!AA10</f>
        <v>0</v>
      </c>
    </row>
    <row r="42" spans="1:194" s="63" customFormat="1" ht="21.75" thickBot="1" x14ac:dyDescent="0.4">
      <c r="A42" s="56" t="str">
        <f>SOLIDDIFER!E11</f>
        <v>Ga2Se3</v>
      </c>
      <c r="B42" s="46">
        <f>SOLIDDIFER!F11</f>
        <v>0.1</v>
      </c>
      <c r="C42" s="46">
        <f>SOLIDDIFER!G11</f>
        <v>0.1</v>
      </c>
      <c r="D42" s="46">
        <f>SOLIDDIFER!H11</f>
        <v>0.1</v>
      </c>
      <c r="E42" s="46">
        <f>SOLIDDIFER!I11</f>
        <v>0.1</v>
      </c>
      <c r="F42" s="46">
        <f>SOLIDDIFER!J11</f>
        <v>0.1</v>
      </c>
      <c r="G42" s="46">
        <f>SOLIDDIFER!K11</f>
        <v>0.1</v>
      </c>
      <c r="H42" s="46">
        <f>SOLIDDIFER!L11</f>
        <v>0.1</v>
      </c>
      <c r="I42" s="46">
        <f>SOLIDDIFER!M11</f>
        <v>2.2433000000000002E-2</v>
      </c>
      <c r="J42" s="46">
        <f>SOLIDDIFER!N11</f>
        <v>2.0362000000000001E-6</v>
      </c>
      <c r="K42" s="46">
        <f>SOLIDDIFER!O11</f>
        <v>7.7761000000000004E-20</v>
      </c>
      <c r="L42" s="46">
        <f>SOLIDDIFER!P11</f>
        <v>2.5107E-30</v>
      </c>
      <c r="M42" s="46">
        <f>SOLIDDIFER!Q11</f>
        <v>0</v>
      </c>
      <c r="N42" s="46">
        <f>SOLIDDIFER!R11</f>
        <v>0</v>
      </c>
      <c r="O42" s="46">
        <f>SOLIDDIFER!S11</f>
        <v>0</v>
      </c>
      <c r="P42" s="46">
        <f>SOLIDDIFER!T11</f>
        <v>0</v>
      </c>
      <c r="Q42" s="46">
        <f>SOLIDDIFER!U11</f>
        <v>0</v>
      </c>
      <c r="R42" s="46">
        <f>SOLIDDIFER!V11</f>
        <v>0</v>
      </c>
      <c r="S42" s="46">
        <f>SOLIDDIFER!W11</f>
        <v>0</v>
      </c>
      <c r="T42" s="46">
        <f>SOLIDDIFER!X11</f>
        <v>0</v>
      </c>
      <c r="U42" s="46">
        <f>SOLIDDIFER!Y11</f>
        <v>0</v>
      </c>
      <c r="V42" s="46">
        <f>SOLIDDIFER!Z11</f>
        <v>0</v>
      </c>
      <c r="W42" s="46">
        <f>SOLIDDIFER!AA11</f>
        <v>0</v>
      </c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63" customFormat="1" ht="21.75" thickBot="1" x14ac:dyDescent="0.4">
      <c r="A43" s="56" t="str">
        <f>SOLIDDIFER!E12</f>
        <v>Ge2</v>
      </c>
      <c r="B43" s="46">
        <f>SOLIDDIFER!F12</f>
        <v>0</v>
      </c>
      <c r="C43" s="46">
        <f>SOLIDDIFER!G12</f>
        <v>0</v>
      </c>
      <c r="D43" s="46">
        <f>SOLIDDIFER!H12</f>
        <v>0</v>
      </c>
      <c r="E43" s="46">
        <f>SOLIDDIFER!I12</f>
        <v>0</v>
      </c>
      <c r="F43" s="46">
        <f>SOLIDDIFER!J12</f>
        <v>0</v>
      </c>
      <c r="G43" s="46">
        <f>SOLIDDIFER!K12</f>
        <v>0</v>
      </c>
      <c r="H43" s="46">
        <f>SOLIDDIFER!L12</f>
        <v>0</v>
      </c>
      <c r="I43" s="46">
        <f>SOLIDDIFER!M12</f>
        <v>0</v>
      </c>
      <c r="J43" s="46">
        <f>SOLIDDIFER!N12</f>
        <v>4.1590999999999998E-36</v>
      </c>
      <c r="K43" s="46">
        <f>SOLIDDIFER!O12</f>
        <v>1.3659000000000001E-27</v>
      </c>
      <c r="L43" s="46">
        <f>SOLIDDIFER!P12</f>
        <v>8.0203000000000004E-22</v>
      </c>
      <c r="M43" s="46">
        <f>SOLIDDIFER!Q12</f>
        <v>1.1604999999999999E-17</v>
      </c>
      <c r="N43" s="46">
        <f>SOLIDDIFER!R12</f>
        <v>8.4930999999999999E-17</v>
      </c>
      <c r="O43" s="46">
        <f>SOLIDDIFER!S12</f>
        <v>5.4554999999999996E-16</v>
      </c>
      <c r="P43" s="46">
        <f>SOLIDDIFER!T12</f>
        <v>3.1137999999999998E-15</v>
      </c>
      <c r="Q43" s="46">
        <f>SOLIDDIFER!U12</f>
        <v>1.5962999999999998E-14</v>
      </c>
      <c r="R43" s="46">
        <f>SOLIDDIFER!V12</f>
        <v>3.9470999999999996E-12</v>
      </c>
      <c r="S43" s="46">
        <f>SOLIDDIFER!W12</f>
        <v>1.7847999999999999E-10</v>
      </c>
      <c r="T43" s="46">
        <f>SOLIDDIFER!X12</f>
        <v>4.1200000000000002E-10</v>
      </c>
      <c r="U43" s="46">
        <f>SOLIDDIFER!Y12</f>
        <v>9.1374999999999997E-10</v>
      </c>
      <c r="V43" s="46">
        <f>SOLIDDIFER!Z12</f>
        <v>1.9525E-9</v>
      </c>
      <c r="W43" s="46">
        <f>SOLIDDIFER!AA12</f>
        <v>4.0296000000000002E-9</v>
      </c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63" customFormat="1" ht="21.75" thickBot="1" x14ac:dyDescent="0.4">
      <c r="A44" s="56" t="str">
        <f>SOLIDDIFER!E13</f>
        <v>Ge</v>
      </c>
      <c r="B44" s="46">
        <f>SOLIDDIFER!F13</f>
        <v>0</v>
      </c>
      <c r="C44" s="46">
        <f>SOLIDDIFER!G13</f>
        <v>0</v>
      </c>
      <c r="D44" s="46">
        <f>SOLIDDIFER!H13</f>
        <v>0</v>
      </c>
      <c r="E44" s="46">
        <f>SOLIDDIFER!I13</f>
        <v>0</v>
      </c>
      <c r="F44" s="46">
        <f>SOLIDDIFER!J13</f>
        <v>0</v>
      </c>
      <c r="G44" s="46">
        <f>SOLIDDIFER!K13</f>
        <v>0</v>
      </c>
      <c r="H44" s="46">
        <f>SOLIDDIFER!L13</f>
        <v>2.5350000000000001E-33</v>
      </c>
      <c r="I44" s="46">
        <f>SOLIDDIFER!M13</f>
        <v>1.0517999999999999E-30</v>
      </c>
      <c r="J44" s="46">
        <f>SOLIDDIFER!N13</f>
        <v>1.3863000000000001E-28</v>
      </c>
      <c r="K44" s="46">
        <f>SOLIDDIFER!O13</f>
        <v>5.5174000000000001E-22</v>
      </c>
      <c r="L44" s="46">
        <f>SOLIDDIFER!P13</f>
        <v>1.6886000000000001E-17</v>
      </c>
      <c r="M44" s="46">
        <f>SOLIDDIFER!Q13</f>
        <v>2.9747000000000003E-14</v>
      </c>
      <c r="N44" s="46">
        <f>SOLIDDIFER!R13</f>
        <v>1.4100000000000001E-13</v>
      </c>
      <c r="O44" s="46">
        <f>SOLIDDIFER!S13</f>
        <v>6.0427000000000001E-13</v>
      </c>
      <c r="P44" s="46">
        <f>SOLIDDIFER!T13</f>
        <v>2.3635000000000002E-12</v>
      </c>
      <c r="Q44" s="46">
        <f>SOLIDDIFER!U13</f>
        <v>8.5073000000000003E-12</v>
      </c>
      <c r="R44" s="46">
        <f>SOLIDDIFER!V13</f>
        <v>6.6755000000000004E-10</v>
      </c>
      <c r="S44" s="46">
        <f>SOLIDDIFER!W13</f>
        <v>1.6446E-8</v>
      </c>
      <c r="T44" s="46">
        <f>SOLIDDIFER!X13</f>
        <v>3.3279000000000003E-8</v>
      </c>
      <c r="U44" s="46">
        <f>SOLIDDIFER!Y13</f>
        <v>6.5148999999999997E-8</v>
      </c>
      <c r="V44" s="46">
        <f>SOLIDDIFER!Z13</f>
        <v>1.2367E-7</v>
      </c>
      <c r="W44" s="46">
        <f>SOLIDDIFER!AA13</f>
        <v>2.2807999999999999E-7</v>
      </c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63" customFormat="1" ht="21.75" thickBot="1" x14ac:dyDescent="0.4">
      <c r="A45" s="56" t="str">
        <f>SOLIDDIFER!E14</f>
        <v>Ar</v>
      </c>
      <c r="B45" s="46">
        <f>SOLIDDIFER!F14</f>
        <v>0.2</v>
      </c>
      <c r="C45" s="46">
        <f>SOLIDDIFER!G14</f>
        <v>0.2</v>
      </c>
      <c r="D45" s="46">
        <f>SOLIDDIFER!H14</f>
        <v>0.2</v>
      </c>
      <c r="E45" s="46">
        <f>SOLIDDIFER!I14</f>
        <v>0.2</v>
      </c>
      <c r="F45" s="46">
        <f>SOLIDDIFER!J14</f>
        <v>0.2</v>
      </c>
      <c r="G45" s="46">
        <f>SOLIDDIFER!K14</f>
        <v>0.2</v>
      </c>
      <c r="H45" s="46">
        <f>SOLIDDIFER!L14</f>
        <v>0.2</v>
      </c>
      <c r="I45" s="46">
        <f>SOLIDDIFER!M14</f>
        <v>0.2</v>
      </c>
      <c r="J45" s="46">
        <f>SOLIDDIFER!N14</f>
        <v>0.2</v>
      </c>
      <c r="K45" s="46">
        <f>SOLIDDIFER!O14</f>
        <v>0.2</v>
      </c>
      <c r="L45" s="46">
        <f>SOLIDDIFER!P14</f>
        <v>0.2</v>
      </c>
      <c r="M45" s="46">
        <f>SOLIDDIFER!Q14</f>
        <v>0.2</v>
      </c>
      <c r="N45" s="46">
        <f>SOLIDDIFER!R14</f>
        <v>0.2</v>
      </c>
      <c r="O45" s="46">
        <f>SOLIDDIFER!S14</f>
        <v>0.2</v>
      </c>
      <c r="P45" s="46">
        <f>SOLIDDIFER!T14</f>
        <v>0.2</v>
      </c>
      <c r="Q45" s="46">
        <f>SOLIDDIFER!U14</f>
        <v>0.2</v>
      </c>
      <c r="R45" s="46">
        <f>SOLIDDIFER!V14</f>
        <v>0.2</v>
      </c>
      <c r="S45" s="46">
        <f>SOLIDDIFER!W14</f>
        <v>0.2</v>
      </c>
      <c r="T45" s="46">
        <f>SOLIDDIFER!X14</f>
        <v>0.2</v>
      </c>
      <c r="U45" s="46">
        <f>SOLIDDIFER!Y14</f>
        <v>0.2</v>
      </c>
      <c r="V45" s="46">
        <f>SOLIDDIFER!Z14</f>
        <v>0.2</v>
      </c>
      <c r="W45" s="46">
        <f>SOLIDDIFER!AA14</f>
        <v>0.2</v>
      </c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63" customFormat="1" ht="21.75" thickBot="1" x14ac:dyDescent="0.4">
      <c r="A46" s="56" t="str">
        <f>SOLIDDIFER!E15</f>
        <v>(l)Ge[l]</v>
      </c>
      <c r="B46" s="46">
        <f>SOLIDDIFER!F15</f>
        <v>0</v>
      </c>
      <c r="C46" s="46">
        <f>SOLIDDIFER!G15</f>
        <v>0</v>
      </c>
      <c r="D46" s="46">
        <f>SOLIDDIFER!H15</f>
        <v>0</v>
      </c>
      <c r="E46" s="46">
        <f>SOLIDDIFER!I15</f>
        <v>0</v>
      </c>
      <c r="F46" s="46">
        <f>SOLIDDIFER!J15</f>
        <v>0</v>
      </c>
      <c r="G46" s="46">
        <f>SOLIDDIFER!K15</f>
        <v>0</v>
      </c>
      <c r="H46" s="46">
        <f>SOLIDDIFER!L15</f>
        <v>0</v>
      </c>
      <c r="I46" s="46">
        <f>SOLIDDIFER!M15</f>
        <v>0</v>
      </c>
      <c r="J46" s="46">
        <f>SOLIDDIFER!N15</f>
        <v>2.0058000000000001E-22</v>
      </c>
      <c r="K46" s="46">
        <f>SOLIDDIFER!O15</f>
        <v>7.6130999999999995E-12</v>
      </c>
      <c r="L46" s="46">
        <f>SOLIDDIFER!P15</f>
        <v>5.2134000000000001E-11</v>
      </c>
      <c r="M46" s="46">
        <f>SOLIDDIFER!Q15</f>
        <v>1.4366E-9</v>
      </c>
      <c r="N46" s="46">
        <f>SOLIDDIFER!R15</f>
        <v>2.4853000000000001E-9</v>
      </c>
      <c r="O46" s="46">
        <f>SOLIDDIFER!S15</f>
        <v>4.4833E-9</v>
      </c>
      <c r="P46" s="46">
        <f>SOLIDDIFER!T15</f>
        <v>1.1865000000000001E-8</v>
      </c>
      <c r="Q46" s="46">
        <f>SOLIDDIFER!U15</f>
        <v>2.9401E-8</v>
      </c>
      <c r="R46" s="46">
        <f>SOLIDDIFER!V15</f>
        <v>5.9993999999999999E-2</v>
      </c>
      <c r="S46" s="46">
        <f>SOLIDDIFER!W15</f>
        <v>0.06</v>
      </c>
      <c r="T46" s="46">
        <f>SOLIDDIFER!X15</f>
        <v>0.06</v>
      </c>
      <c r="U46" s="46">
        <f>SOLIDDIFER!Y15</f>
        <v>0.06</v>
      </c>
      <c r="V46" s="46">
        <f>SOLIDDIFER!Z15</f>
        <v>0.06</v>
      </c>
      <c r="W46" s="46">
        <f>SOLIDDIFER!AA15</f>
        <v>0.06</v>
      </c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63" customFormat="1" ht="21.75" thickBot="1" x14ac:dyDescent="0.4">
      <c r="A47" s="56" t="str">
        <f>SOLIDDIFER!E16</f>
        <v>H(Ar)</v>
      </c>
      <c r="B47" s="46">
        <f>SOLIDDIFER!F16</f>
        <v>-19.02</v>
      </c>
      <c r="C47" s="46">
        <f>SOLIDDIFER!G16</f>
        <v>-19.03</v>
      </c>
      <c r="D47" s="46">
        <f>SOLIDDIFER!H16</f>
        <v>-19.059999999999999</v>
      </c>
      <c r="E47" s="46">
        <f>SOLIDDIFER!I16</f>
        <v>-19.11</v>
      </c>
      <c r="F47" s="46">
        <f>SOLIDDIFER!J16</f>
        <v>-19.170000000000002</v>
      </c>
      <c r="G47" s="46">
        <f>SOLIDDIFER!K16</f>
        <v>-19.23</v>
      </c>
      <c r="H47" s="46">
        <f>SOLIDDIFER!L16</f>
        <v>-19.3</v>
      </c>
      <c r="I47" s="46">
        <f>SOLIDDIFER!M16</f>
        <v>-19.07</v>
      </c>
      <c r="J47" s="46">
        <f>SOLIDDIFER!N16</f>
        <v>-19.03</v>
      </c>
      <c r="K47" s="46">
        <f>SOLIDDIFER!O16</f>
        <v>-19.309999999999999</v>
      </c>
      <c r="L47" s="46">
        <f>SOLIDDIFER!P16</f>
        <v>-19.57</v>
      </c>
      <c r="M47" s="46">
        <f>SOLIDDIFER!Q16</f>
        <v>-19.82</v>
      </c>
      <c r="N47" s="46">
        <f>SOLIDDIFER!R16</f>
        <v>-19.88</v>
      </c>
      <c r="O47" s="46">
        <f>SOLIDDIFER!S16</f>
        <v>-19.940000000000001</v>
      </c>
      <c r="P47" s="46">
        <f>SOLIDDIFER!T16</f>
        <v>-20</v>
      </c>
      <c r="Q47" s="46">
        <f>SOLIDDIFER!U16</f>
        <v>-20.05</v>
      </c>
      <c r="R47" s="46">
        <f>SOLIDDIFER!V16</f>
        <v>-20.260000000000002</v>
      </c>
      <c r="S47" s="46">
        <f>SOLIDDIFER!W16</f>
        <v>-20.46</v>
      </c>
      <c r="T47" s="46">
        <f>SOLIDDIFER!X16</f>
        <v>-20.51</v>
      </c>
      <c r="U47" s="46">
        <f>SOLIDDIFER!Y16</f>
        <v>-20.56</v>
      </c>
      <c r="V47" s="46">
        <f>SOLIDDIFER!Z16</f>
        <v>-20.6</v>
      </c>
      <c r="W47" s="46">
        <f>SOLIDDIFER!AA16</f>
        <v>-20.65</v>
      </c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63" customFormat="1" ht="21.75" thickBot="1" x14ac:dyDescent="0.4">
      <c r="A48" s="56" t="str">
        <f>SOLIDDIFER!E17</f>
        <v>H(Ga)</v>
      </c>
      <c r="B48" s="46">
        <f>SOLIDDIFER!F17</f>
        <v>-60.99</v>
      </c>
      <c r="C48" s="46">
        <f>SOLIDDIFER!G17</f>
        <v>-55.39</v>
      </c>
      <c r="D48" s="46">
        <f>SOLIDDIFER!H17</f>
        <v>-48.92</v>
      </c>
      <c r="E48" s="46">
        <f>SOLIDDIFER!I17</f>
        <v>-42.66</v>
      </c>
      <c r="F48" s="46">
        <f>SOLIDDIFER!J17</f>
        <v>-37.28</v>
      </c>
      <c r="G48" s="46">
        <f>SOLIDDIFER!K17</f>
        <v>-32.6</v>
      </c>
      <c r="H48" s="46">
        <f>SOLIDDIFER!L17</f>
        <v>-28.48</v>
      </c>
      <c r="I48" s="46">
        <f>SOLIDDIFER!M17</f>
        <v>-25.41</v>
      </c>
      <c r="J48" s="46">
        <f>SOLIDDIFER!N17</f>
        <v>-26.73</v>
      </c>
      <c r="K48" s="46">
        <f>SOLIDDIFER!O17</f>
        <v>-31.78</v>
      </c>
      <c r="L48" s="46">
        <f>SOLIDDIFER!P17</f>
        <v>-36.28</v>
      </c>
      <c r="M48" s="46">
        <f>SOLIDDIFER!Q17</f>
        <v>-40.049999999999997</v>
      </c>
      <c r="N48" s="46">
        <f>SOLIDDIFER!R17</f>
        <v>-40.86</v>
      </c>
      <c r="O48" s="46">
        <f>SOLIDDIFER!S17</f>
        <v>-41.61</v>
      </c>
      <c r="P48" s="46">
        <f>SOLIDDIFER!T17</f>
        <v>-42.31</v>
      </c>
      <c r="Q48" s="46">
        <f>SOLIDDIFER!U17</f>
        <v>-42.94</v>
      </c>
      <c r="R48" s="46">
        <f>SOLIDDIFER!V17</f>
        <v>-44.86</v>
      </c>
      <c r="S48" s="46">
        <f>SOLIDDIFER!W17</f>
        <v>-45.72</v>
      </c>
      <c r="T48" s="46">
        <f>SOLIDDIFER!X17</f>
        <v>-45.76</v>
      </c>
      <c r="U48" s="46">
        <f>SOLIDDIFER!Y17</f>
        <v>-45.74</v>
      </c>
      <c r="V48" s="46">
        <f>SOLIDDIFER!Z17</f>
        <v>-45.64</v>
      </c>
      <c r="W48" s="46">
        <f>SOLIDDIFER!AA17</f>
        <v>-45.47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63" customFormat="1" ht="21.75" thickBot="1" x14ac:dyDescent="0.4">
      <c r="A49" s="56" t="str">
        <f>SOLIDDIFER!E18</f>
        <v>H(Ge)</v>
      </c>
      <c r="B49" s="46">
        <f>SOLIDDIFER!F18</f>
        <v>-15.35</v>
      </c>
      <c r="C49" s="46">
        <f>SOLIDDIFER!G18</f>
        <v>-14.36</v>
      </c>
      <c r="D49" s="46">
        <f>SOLIDDIFER!H18</f>
        <v>-12.3</v>
      </c>
      <c r="E49" s="46">
        <f>SOLIDDIFER!I18</f>
        <v>-10.01</v>
      </c>
      <c r="F49" s="46">
        <f>SOLIDDIFER!J18</f>
        <v>-8.0210000000000008</v>
      </c>
      <c r="G49" s="46">
        <f>SOLIDDIFER!K18</f>
        <v>-6.28</v>
      </c>
      <c r="H49" s="46">
        <f>SOLIDDIFER!L18</f>
        <v>-4.7359999999999998</v>
      </c>
      <c r="I49" s="46">
        <f>SOLIDDIFER!M18</f>
        <v>-4.141</v>
      </c>
      <c r="J49" s="46">
        <f>SOLIDDIFER!N18</f>
        <v>-4.2229999999999999</v>
      </c>
      <c r="K49" s="46">
        <f>SOLIDDIFER!O18</f>
        <v>-4.5529999999999999</v>
      </c>
      <c r="L49" s="46">
        <f>SOLIDDIFER!P18</f>
        <v>-4.8730000000000002</v>
      </c>
      <c r="M49" s="46">
        <f>SOLIDDIFER!Q18</f>
        <v>-5.1749999999999998</v>
      </c>
      <c r="N49" s="46">
        <f>SOLIDDIFER!R18</f>
        <v>-5.2469999999999999</v>
      </c>
      <c r="O49" s="46">
        <f>SOLIDDIFER!S18</f>
        <v>-5.3179999999999996</v>
      </c>
      <c r="P49" s="46">
        <f>SOLIDDIFER!T18</f>
        <v>-5.3890000000000002</v>
      </c>
      <c r="Q49" s="46">
        <f>SOLIDDIFER!U18</f>
        <v>-5.4580000000000002</v>
      </c>
      <c r="R49" s="46">
        <f>SOLIDDIFER!V18</f>
        <v>-5.7869999999999999</v>
      </c>
      <c r="S49" s="46">
        <f>SOLIDDIFER!W18</f>
        <v>-6.3879999999999999</v>
      </c>
      <c r="T49" s="46">
        <f>SOLIDDIFER!X18</f>
        <v>-6.5250000000000004</v>
      </c>
      <c r="U49" s="46">
        <f>SOLIDDIFER!Y18</f>
        <v>-6.6580000000000004</v>
      </c>
      <c r="V49" s="46">
        <f>SOLIDDIFER!Z18</f>
        <v>-6.7869999999999999</v>
      </c>
      <c r="W49" s="46">
        <f>SOLIDDIFER!AA18</f>
        <v>-6.9109999999999996</v>
      </c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63" customFormat="1" ht="21.75" thickBot="1" x14ac:dyDescent="0.4">
      <c r="A50" s="56" t="str">
        <f>SOLIDDIFER!E19</f>
        <v>H(Se)</v>
      </c>
      <c r="B50" s="46">
        <f>SOLIDDIFER!F19</f>
        <v>-21.89</v>
      </c>
      <c r="C50" s="46">
        <f>SOLIDDIFER!G19</f>
        <v>-20.11</v>
      </c>
      <c r="D50" s="46">
        <f>SOLIDDIFER!H19</f>
        <v>-19.97</v>
      </c>
      <c r="E50" s="46">
        <f>SOLIDDIFER!I19</f>
        <v>-20.47</v>
      </c>
      <c r="F50" s="46">
        <f>SOLIDDIFER!J19</f>
        <v>-20.98</v>
      </c>
      <c r="G50" s="46">
        <f>SOLIDDIFER!K19</f>
        <v>-21.49</v>
      </c>
      <c r="H50" s="46">
        <f>SOLIDDIFER!L19</f>
        <v>-22.01</v>
      </c>
      <c r="I50" s="46">
        <f>SOLIDDIFER!M19</f>
        <v>-22.51</v>
      </c>
      <c r="J50" s="46">
        <f>SOLIDDIFER!N19</f>
        <v>-23.02</v>
      </c>
      <c r="K50" s="46">
        <f>SOLIDDIFER!O19</f>
        <v>-24.96</v>
      </c>
      <c r="L50" s="46">
        <f>SOLIDDIFER!P19</f>
        <v>-26.77</v>
      </c>
      <c r="M50" s="46">
        <f>SOLIDDIFER!Q19</f>
        <v>-28.49</v>
      </c>
      <c r="N50" s="46">
        <f>SOLIDDIFER!R19</f>
        <v>-28.9</v>
      </c>
      <c r="O50" s="46">
        <f>SOLIDDIFER!S19</f>
        <v>-29.31</v>
      </c>
      <c r="P50" s="46">
        <f>SOLIDDIFER!T19</f>
        <v>-29.72</v>
      </c>
      <c r="Q50" s="46">
        <f>SOLIDDIFER!U19</f>
        <v>-30.12</v>
      </c>
      <c r="R50" s="46">
        <f>SOLIDDIFER!V19</f>
        <v>-31.69</v>
      </c>
      <c r="S50" s="46">
        <f>SOLIDDIFER!W19</f>
        <v>-33.22</v>
      </c>
      <c r="T50" s="46">
        <f>SOLIDDIFER!X19</f>
        <v>-33.590000000000003</v>
      </c>
      <c r="U50" s="46">
        <f>SOLIDDIFER!Y19</f>
        <v>-33.97</v>
      </c>
      <c r="V50" s="46">
        <f>SOLIDDIFER!Z19</f>
        <v>-34.340000000000003</v>
      </c>
      <c r="W50" s="46">
        <f>SOLIDDIFER!AA19</f>
        <v>-34.71</v>
      </c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63" customFormat="1" ht="22.5" thickTop="1" thickBot="1" x14ac:dyDescent="0.4">
      <c r="A51" s="88">
        <f>SOLIDDIFER!E20</f>
        <v>0</v>
      </c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63" customFormat="1" ht="22.5" thickTop="1" thickBot="1" x14ac:dyDescent="0.4">
      <c r="A52" s="88">
        <f>SOLIDDIFER!E21</f>
        <v>0</v>
      </c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63" customFormat="1" ht="22.5" thickTop="1" thickBot="1" x14ac:dyDescent="0.4">
      <c r="A53" s="88">
        <f>SOLIDDIFER!E22</f>
        <v>0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63" customFormat="1" ht="22.5" thickTop="1" thickBot="1" x14ac:dyDescent="0.4">
      <c r="A54" s="88">
        <f>SOLIDDIFER!E23</f>
        <v>0</v>
      </c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63" customFormat="1" ht="22.5" thickTop="1" thickBot="1" x14ac:dyDescent="0.4">
      <c r="A55" s="88">
        <f>SOLIDDIFER!E24</f>
        <v>0</v>
      </c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63" customFormat="1" ht="22.5" thickTop="1" thickBot="1" x14ac:dyDescent="0.4">
      <c r="A56" s="88">
        <f>SOLIDDIFER!E25</f>
        <v>0</v>
      </c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63" customFormat="1" ht="22.5" thickTop="1" thickBot="1" x14ac:dyDescent="0.4">
      <c r="A57" s="88">
        <f>SOLIDDIFER!E26</f>
        <v>0</v>
      </c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63" customFormat="1" ht="22.5" thickTop="1" thickBot="1" x14ac:dyDescent="0.4">
      <c r="A58" s="88">
        <f>SOLIDDIFER!E27</f>
        <v>0</v>
      </c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63" customFormat="1" ht="22.5" thickTop="1" thickBot="1" x14ac:dyDescent="0.4">
      <c r="A59" s="88">
        <f>SOLIDDIFER!E28</f>
        <v>0</v>
      </c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63" customFormat="1" ht="22.5" thickTop="1" thickBot="1" x14ac:dyDescent="0.4">
      <c r="A60" s="88">
        <f>SOLIDDIFER!E29</f>
        <v>0</v>
      </c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63" customFormat="1" ht="22.5" thickTop="1" thickBot="1" x14ac:dyDescent="0.4">
      <c r="A61" s="88">
        <f>SOLIDDIFER!E30</f>
        <v>0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63" customFormat="1" ht="22.5" thickTop="1" thickBot="1" x14ac:dyDescent="0.4">
      <c r="A62" s="88">
        <f>SOLIDDIFER!E31</f>
        <v>0</v>
      </c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63" customFormat="1" ht="22.5" thickTop="1" thickBot="1" x14ac:dyDescent="0.4">
      <c r="A63" s="88">
        <f>SOLIDDIFER!E32</f>
        <v>0</v>
      </c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63" customFormat="1" ht="22.5" thickTop="1" thickBot="1" x14ac:dyDescent="0.4">
      <c r="A64" s="88">
        <f>SOLIDDIFER!E33</f>
        <v>1</v>
      </c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s="63" customFormat="1" ht="21.75" hidden="1" thickBot="1" x14ac:dyDescent="0.4">
      <c r="A65" s="56">
        <f>SOLIDDIFER!E34</f>
        <v>460</v>
      </c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</row>
    <row r="66" spans="1:194" s="63" customFormat="1" ht="21.75" hidden="1" thickBot="1" x14ac:dyDescent="0.4">
      <c r="A66" s="56">
        <f>SOLIDDIFER!E35</f>
        <v>460</v>
      </c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ht="22.5" thickTop="1" thickBot="1" x14ac:dyDescent="0.4"/>
    <row r="68" spans="1:194" s="63" customFormat="1" ht="22.5" thickTop="1" thickBot="1" x14ac:dyDescent="0.4">
      <c r="A68" s="41" t="s">
        <v>57</v>
      </c>
      <c r="B68" s="88">
        <f>ALL!F3</f>
        <v>298.2</v>
      </c>
      <c r="C68" s="88">
        <f>ALL!G3</f>
        <v>331.5</v>
      </c>
      <c r="D68" s="88">
        <f>ALL!H3</f>
        <v>364.9</v>
      </c>
      <c r="E68" s="88">
        <f>ALL!I3</f>
        <v>398.3</v>
      </c>
      <c r="F68" s="88">
        <f>ALL!J3</f>
        <v>431.7</v>
      </c>
      <c r="G68" s="88">
        <f>ALL!K3</f>
        <v>465.1</v>
      </c>
      <c r="H68" s="88">
        <f>ALL!L3</f>
        <v>498.5</v>
      </c>
      <c r="I68" s="88">
        <f>ALL!M3</f>
        <v>531.79999999999995</v>
      </c>
      <c r="J68" s="88">
        <f>ALL!N3</f>
        <v>565.20000000000005</v>
      </c>
      <c r="K68" s="88">
        <f>ALL!O3</f>
        <v>598.6</v>
      </c>
      <c r="L68" s="88">
        <f>ALL!P3</f>
        <v>632</v>
      </c>
      <c r="M68" s="88">
        <f>ALL!Q3</f>
        <v>665.4</v>
      </c>
      <c r="N68" s="88">
        <f>ALL!R3</f>
        <v>698.8</v>
      </c>
      <c r="O68" s="88">
        <f>ALL!S3</f>
        <v>832.3</v>
      </c>
      <c r="P68" s="88">
        <f>ALL!T3</f>
        <v>965.8</v>
      </c>
      <c r="Q68" s="88">
        <f>ALL!U3</f>
        <v>1099</v>
      </c>
      <c r="R68" s="88">
        <f>ALL!V3</f>
        <v>1133</v>
      </c>
      <c r="S68" s="88">
        <f>ALL!W3</f>
        <v>1166</v>
      </c>
      <c r="T68" s="88">
        <f>ALL!X3</f>
        <v>1200</v>
      </c>
      <c r="U68" s="88">
        <f>ALL!Y3</f>
        <v>1233</v>
      </c>
      <c r="V68" s="88">
        <f>ALL!Z3</f>
        <v>1366</v>
      </c>
      <c r="W68" s="88">
        <f>ALL!AA3</f>
        <v>1500</v>
      </c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63" customFormat="1" ht="21.75" thickBot="1" x14ac:dyDescent="0.4">
      <c r="A69" s="56" t="str">
        <f>ALL!E4</f>
        <v>*GeSe</v>
      </c>
      <c r="B69" s="46">
        <f>ALL!F4</f>
        <v>3.4126E-9</v>
      </c>
      <c r="C69" s="46">
        <f>ALL!G4</f>
        <v>6.8971000000000001E-9</v>
      </c>
      <c r="D69" s="46">
        <f>ALL!H4</f>
        <v>1.2251999999999999E-8</v>
      </c>
      <c r="E69" s="46">
        <f>ALL!I4</f>
        <v>9.8437000000000007E-9</v>
      </c>
      <c r="F69" s="46">
        <f>ALL!J4</f>
        <v>7.0928999999999998E-9</v>
      </c>
      <c r="G69" s="46">
        <f>ALL!K4</f>
        <v>1.4511000000000001E-11</v>
      </c>
      <c r="H69" s="46">
        <f>ALL!L4</f>
        <v>7.7667000000000001E-23</v>
      </c>
      <c r="I69" s="46">
        <f>ALL!M4</f>
        <v>0</v>
      </c>
      <c r="J69" s="46">
        <f>ALL!N4</f>
        <v>0</v>
      </c>
      <c r="K69" s="46">
        <f>ALL!O4</f>
        <v>0</v>
      </c>
      <c r="L69" s="46">
        <f>ALL!P4</f>
        <v>0</v>
      </c>
      <c r="M69" s="46">
        <f>ALL!Q4</f>
        <v>0</v>
      </c>
      <c r="N69" s="46">
        <f>ALL!R4</f>
        <v>0</v>
      </c>
      <c r="O69" s="46">
        <f>ALL!S4</f>
        <v>0</v>
      </c>
      <c r="P69" s="46">
        <f>ALL!T4</f>
        <v>0</v>
      </c>
      <c r="Q69" s="46">
        <f>ALL!U4</f>
        <v>0</v>
      </c>
      <c r="R69" s="46">
        <f>ALL!V4</f>
        <v>0</v>
      </c>
      <c r="S69" s="46">
        <f>ALL!W4</f>
        <v>0</v>
      </c>
      <c r="T69" s="46">
        <f>ALL!X4</f>
        <v>0</v>
      </c>
      <c r="U69" s="46">
        <f>ALL!Y4</f>
        <v>0</v>
      </c>
      <c r="V69" s="46">
        <f>ALL!Z4</f>
        <v>0</v>
      </c>
      <c r="W69" s="46">
        <f>ALL!AA4</f>
        <v>0</v>
      </c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63" customFormat="1" ht="21.75" thickBot="1" x14ac:dyDescent="0.4">
      <c r="A70" s="56" t="str">
        <f>ALL!E5</f>
        <v>*Se[m]</v>
      </c>
      <c r="B70" s="46">
        <f>ALL!F5</f>
        <v>7.6016999999999998E-31</v>
      </c>
      <c r="C70" s="46">
        <f>ALL!G5</f>
        <v>2.9062E-21</v>
      </c>
      <c r="D70" s="46">
        <f>ALL!H5</f>
        <v>1.2167E-17</v>
      </c>
      <c r="E70" s="46">
        <f>ALL!I5</f>
        <v>3.46E-16</v>
      </c>
      <c r="F70" s="46">
        <f>ALL!J5</f>
        <v>7.1997000000000001E-13</v>
      </c>
      <c r="G70" s="46">
        <f>ALL!K5</f>
        <v>1.5125000000000001E-9</v>
      </c>
      <c r="H70" s="46">
        <f>ALL!L5</f>
        <v>7.1831999999999998E-9</v>
      </c>
      <c r="I70" s="46">
        <f>ALL!M5</f>
        <v>2.7564000000000001E-8</v>
      </c>
      <c r="J70" s="46">
        <f>ALL!N5</f>
        <v>2.1766000000000001E-8</v>
      </c>
      <c r="K70" s="46">
        <f>ALL!O5</f>
        <v>2.3666000000000002E-8</v>
      </c>
      <c r="L70" s="46">
        <f>ALL!P5</f>
        <v>2.4103000000000001E-8</v>
      </c>
      <c r="M70" s="46">
        <f>ALL!Q5</f>
        <v>2.3997E-8</v>
      </c>
      <c r="N70" s="46">
        <f>ALL!R5</f>
        <v>2.3738999999999998E-8</v>
      </c>
      <c r="O70" s="46">
        <f>ALL!S5</f>
        <v>2.1979000000000001E-8</v>
      </c>
      <c r="P70" s="46">
        <f>ALL!T5</f>
        <v>2.1196E-8</v>
      </c>
      <c r="Q70" s="46">
        <f>ALL!U5</f>
        <v>2.1174999999999999E-8</v>
      </c>
      <c r="R70" s="46">
        <f>ALL!V5</f>
        <v>2.1165999999999999E-8</v>
      </c>
      <c r="S70" s="46">
        <f>ALL!W5</f>
        <v>2.1155E-8</v>
      </c>
      <c r="T70" s="46">
        <f>ALL!X5</f>
        <v>2.1212999999999999E-8</v>
      </c>
      <c r="U70" s="46">
        <f>ALL!Y5</f>
        <v>2.1276999999999999E-8</v>
      </c>
      <c r="V70" s="46">
        <f>ALL!Z5</f>
        <v>2.1562000000000001E-8</v>
      </c>
      <c r="W70" s="46">
        <f>ALL!AA5</f>
        <v>2.1891000000000001E-8</v>
      </c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63" customFormat="1" ht="21.75" thickBot="1" x14ac:dyDescent="0.4">
      <c r="A71" s="56" t="str">
        <f>ALL!E6</f>
        <v>Ga2Se3</v>
      </c>
      <c r="B71" s="46">
        <f>ALL!F6</f>
        <v>6.1059000000000002E-2</v>
      </c>
      <c r="C71" s="46">
        <f>ALL!G6</f>
        <v>5.6835999999999998E-2</v>
      </c>
      <c r="D71" s="46">
        <f>ALL!H6</f>
        <v>5.3668E-2</v>
      </c>
      <c r="E71" s="46">
        <f>ALL!I6</f>
        <v>5.2597999999999999E-2</v>
      </c>
      <c r="F71" s="46">
        <f>ALL!J6</f>
        <v>5.1083000000000003E-2</v>
      </c>
      <c r="G71" s="46">
        <f>ALL!K6</f>
        <v>4.7363000000000002E-2</v>
      </c>
      <c r="H71" s="46">
        <f>ALL!L6</f>
        <v>3.9135999999999997E-2</v>
      </c>
      <c r="I71" s="46">
        <f>ALL!M6</f>
        <v>2.6801E-4</v>
      </c>
      <c r="J71" s="46">
        <f>ALL!N6</f>
        <v>2.7487E-8</v>
      </c>
      <c r="K71" s="46">
        <f>ALL!O6</f>
        <v>5.4257999999999998E-12</v>
      </c>
      <c r="L71" s="46">
        <f>ALL!P6</f>
        <v>1.9164999999999999E-15</v>
      </c>
      <c r="M71" s="46">
        <f>ALL!Q6</f>
        <v>1.1293999999999999E-18</v>
      </c>
      <c r="N71" s="46">
        <f>ALL!R6</f>
        <v>1.0498000000000001E-21</v>
      </c>
      <c r="O71" s="46">
        <f>ALL!S6</f>
        <v>3.3894E-32</v>
      </c>
      <c r="P71" s="46">
        <f>ALL!T6</f>
        <v>0</v>
      </c>
      <c r="Q71" s="46">
        <f>ALL!U6</f>
        <v>0</v>
      </c>
      <c r="R71" s="46">
        <f>ALL!V6</f>
        <v>0</v>
      </c>
      <c r="S71" s="46">
        <f>ALL!W6</f>
        <v>0</v>
      </c>
      <c r="T71" s="46">
        <f>ALL!X6</f>
        <v>0</v>
      </c>
      <c r="U71" s="46">
        <f>ALL!Y6</f>
        <v>0</v>
      </c>
      <c r="V71" s="46">
        <f>ALL!Z6</f>
        <v>0</v>
      </c>
      <c r="W71" s="46">
        <f>ALL!AA6</f>
        <v>0</v>
      </c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63" customFormat="1" ht="21.75" thickBot="1" x14ac:dyDescent="0.4">
      <c r="A72" s="56" t="str">
        <f>ALL!E7</f>
        <v>Ge</v>
      </c>
      <c r="B72" s="46">
        <f>ALL!F7</f>
        <v>0</v>
      </c>
      <c r="C72" s="46">
        <f>ALL!G7</f>
        <v>0</v>
      </c>
      <c r="D72" s="46">
        <f>ALL!H7</f>
        <v>0</v>
      </c>
      <c r="E72" s="46">
        <f>ALL!I7</f>
        <v>0</v>
      </c>
      <c r="F72" s="46">
        <f>ALL!J7</f>
        <v>0</v>
      </c>
      <c r="G72" s="46">
        <f>ALL!K7</f>
        <v>0</v>
      </c>
      <c r="H72" s="46">
        <f>ALL!L7</f>
        <v>4.7876999999999999E-34</v>
      </c>
      <c r="I72" s="46">
        <f>ALL!M7</f>
        <v>6.4196999999999995E-32</v>
      </c>
      <c r="J72" s="46">
        <f>ALL!N7</f>
        <v>1.0090000000000001E-29</v>
      </c>
      <c r="K72" s="46">
        <f>ALL!O7</f>
        <v>8.6744000000000001E-28</v>
      </c>
      <c r="L72" s="46">
        <f>ALL!P7</f>
        <v>4.6054000000000001E-26</v>
      </c>
      <c r="M72" s="46">
        <f>ALL!Q7</f>
        <v>1.6372E-24</v>
      </c>
      <c r="N72" s="46">
        <f>ALL!R7</f>
        <v>4.1365000000000001E-23</v>
      </c>
      <c r="O72" s="46">
        <f>ALL!S7</f>
        <v>1.2665E-18</v>
      </c>
      <c r="P72" s="46">
        <f>ALL!T7</f>
        <v>2.2310000000000002E-15</v>
      </c>
      <c r="Q72" s="46">
        <f>ALL!U7</f>
        <v>6.3804999999999999E-13</v>
      </c>
      <c r="R72" s="46">
        <f>ALL!V7</f>
        <v>2.1290999999999999E-12</v>
      </c>
      <c r="S72" s="46">
        <f>ALL!W7</f>
        <v>6.6288000000000002E-12</v>
      </c>
      <c r="T72" s="46">
        <f>ALL!X7</f>
        <v>1.9369000000000001E-11</v>
      </c>
      <c r="U72" s="46">
        <f>ALL!Y7</f>
        <v>5.3384000000000003E-11</v>
      </c>
      <c r="V72" s="46">
        <f>ALL!Z7</f>
        <v>1.8718000000000001E-9</v>
      </c>
      <c r="W72" s="46">
        <f>ALL!AA7</f>
        <v>3.4675999999999999E-8</v>
      </c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63" customFormat="1" ht="21.75" thickBot="1" x14ac:dyDescent="0.4">
      <c r="A73" s="56" t="str">
        <f>ALL!E8</f>
        <v>Ar</v>
      </c>
      <c r="B73" s="46">
        <f>ALL!F8</f>
        <v>0.2</v>
      </c>
      <c r="C73" s="46">
        <f>ALL!G8</f>
        <v>0.2</v>
      </c>
      <c r="D73" s="46">
        <f>ALL!H8</f>
        <v>0.2</v>
      </c>
      <c r="E73" s="46">
        <f>ALL!I8</f>
        <v>0.2</v>
      </c>
      <c r="F73" s="46">
        <f>ALL!J8</f>
        <v>0.2</v>
      </c>
      <c r="G73" s="46">
        <f>ALL!K8</f>
        <v>0.2</v>
      </c>
      <c r="H73" s="46">
        <f>ALL!L8</f>
        <v>0.2</v>
      </c>
      <c r="I73" s="46">
        <f>ALL!M8</f>
        <v>0.2</v>
      </c>
      <c r="J73" s="46">
        <f>ALL!N8</f>
        <v>0.2</v>
      </c>
      <c r="K73" s="46">
        <f>ALL!O8</f>
        <v>0.2</v>
      </c>
      <c r="L73" s="46">
        <f>ALL!P8</f>
        <v>0.2</v>
      </c>
      <c r="M73" s="46">
        <f>ALL!Q8</f>
        <v>0.2</v>
      </c>
      <c r="N73" s="46">
        <f>ALL!R8</f>
        <v>0.2</v>
      </c>
      <c r="O73" s="46">
        <f>ALL!S8</f>
        <v>0.2</v>
      </c>
      <c r="P73" s="46">
        <f>ALL!T8</f>
        <v>0.2</v>
      </c>
      <c r="Q73" s="46">
        <f>ALL!U8</f>
        <v>0.2</v>
      </c>
      <c r="R73" s="46">
        <f>ALL!V8</f>
        <v>0.2</v>
      </c>
      <c r="S73" s="46">
        <f>ALL!W8</f>
        <v>0.2</v>
      </c>
      <c r="T73" s="46">
        <f>ALL!X8</f>
        <v>0.2</v>
      </c>
      <c r="U73" s="46">
        <f>ALL!Y8</f>
        <v>0.2</v>
      </c>
      <c r="V73" s="46">
        <f>ALL!Z8</f>
        <v>0.2</v>
      </c>
      <c r="W73" s="46">
        <f>ALL!AA8</f>
        <v>0.2</v>
      </c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63" customFormat="1" ht="21.75" thickBot="1" x14ac:dyDescent="0.4">
      <c r="A74" s="56" t="str">
        <f>ALL!E9</f>
        <v>(l)GeSe2</v>
      </c>
      <c r="B74" s="46">
        <f>ALL!F9</f>
        <v>5.2450999999999998E-2</v>
      </c>
      <c r="C74" s="46">
        <f>ALL!G9</f>
        <v>2.8126000000000002E-2</v>
      </c>
      <c r="D74" s="46">
        <f>ALL!H9</f>
        <v>7.5303999999999996E-3</v>
      </c>
      <c r="E74" s="46">
        <f>ALL!I9</f>
        <v>1.6239E-3</v>
      </c>
      <c r="F74" s="46">
        <f>ALL!J9</f>
        <v>3.8434999999999999E-4</v>
      </c>
      <c r="G74" s="46">
        <f>ALL!K9</f>
        <v>9.1833E-5</v>
      </c>
      <c r="H74" s="46">
        <f>ALL!L9</f>
        <v>1.6246999999999999E-5</v>
      </c>
      <c r="I74" s="46">
        <f>ALL!M9</f>
        <v>2.6618999999999999E-6</v>
      </c>
      <c r="J74" s="46">
        <f>ALL!N9</f>
        <v>2.8435999999999999E-7</v>
      </c>
      <c r="K74" s="46">
        <f>ALL!O9</f>
        <v>3.3676999999999998E-8</v>
      </c>
      <c r="L74" s="46">
        <f>ALL!P9</f>
        <v>4.5736E-9</v>
      </c>
      <c r="M74" s="46">
        <f>ALL!Q9</f>
        <v>7.0760000000000002E-10</v>
      </c>
      <c r="N74" s="46">
        <f>ALL!R9</f>
        <v>1.2301E-10</v>
      </c>
      <c r="O74" s="46">
        <f>ALL!S9</f>
        <v>2.8091000000000001E-13</v>
      </c>
      <c r="P74" s="46">
        <f>ALL!T9</f>
        <v>1.8204000000000002E-15</v>
      </c>
      <c r="Q74" s="46">
        <f>ALL!U9</f>
        <v>2.3338E-17</v>
      </c>
      <c r="R74" s="46">
        <f>ALL!V9</f>
        <v>8.4999999999999995E-18</v>
      </c>
      <c r="S74" s="46">
        <f>ALL!W9</f>
        <v>3.1781000000000001E-18</v>
      </c>
      <c r="T74" s="46">
        <f>ALL!X9</f>
        <v>1.2172E-18</v>
      </c>
      <c r="U74" s="46">
        <f>ALL!Y9</f>
        <v>4.7653000000000002E-19</v>
      </c>
      <c r="V74" s="46">
        <f>ALL!Z9</f>
        <v>1.3479000000000001E-20</v>
      </c>
      <c r="W74" s="46">
        <f>ALL!AA9</f>
        <v>4.8049000000000002E-22</v>
      </c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63" customFormat="1" ht="21.75" thickBot="1" x14ac:dyDescent="0.4">
      <c r="A75" s="56" t="str">
        <f>ALL!E10</f>
        <v>(l)GeSe</v>
      </c>
      <c r="B75" s="46">
        <f>ALL!F10</f>
        <v>6.7547999999999997E-2</v>
      </c>
      <c r="C75" s="46">
        <f>ALL!G10</f>
        <v>9.1858999999999996E-2</v>
      </c>
      <c r="D75" s="46">
        <f>ALL!H10</f>
        <v>0.11228</v>
      </c>
      <c r="E75" s="46">
        <f>ALL!I10</f>
        <v>0.11651</v>
      </c>
      <c r="F75" s="46">
        <f>ALL!J10</f>
        <v>0.10771</v>
      </c>
      <c r="G75" s="46">
        <f>ALL!K10</f>
        <v>7.7765000000000001E-2</v>
      </c>
      <c r="H75" s="46">
        <f>ALL!L10</f>
        <v>3.7217E-2</v>
      </c>
      <c r="I75" s="46">
        <f>ALL!M10</f>
        <v>1.4212000000000001E-2</v>
      </c>
      <c r="J75" s="46">
        <f>ALL!N10</f>
        <v>4.1484E-3</v>
      </c>
      <c r="K75" s="46">
        <f>ALL!O10</f>
        <v>1.2566999999999999E-3</v>
      </c>
      <c r="L75" s="46">
        <f>ALL!P10</f>
        <v>4.1047000000000002E-4</v>
      </c>
      <c r="M75" s="46">
        <f>ALL!Q10</f>
        <v>1.4464999999999999E-4</v>
      </c>
      <c r="N75" s="46">
        <f>ALL!R10</f>
        <v>5.4611999999999998E-5</v>
      </c>
      <c r="O75" s="46">
        <f>ALL!S10</f>
        <v>1.9085999999999998E-6</v>
      </c>
      <c r="P75" s="46">
        <f>ALL!T10</f>
        <v>1.2335E-7</v>
      </c>
      <c r="Q75" s="46">
        <f>ALL!U10</f>
        <v>1.1891E-8</v>
      </c>
      <c r="R75" s="46">
        <f>ALL!V10</f>
        <v>6.9399E-9</v>
      </c>
      <c r="S75" s="46">
        <f>ALL!W10</f>
        <v>4.1128000000000001E-9</v>
      </c>
      <c r="T75" s="46">
        <f>ALL!X10</f>
        <v>2.4718000000000001E-9</v>
      </c>
      <c r="U75" s="46">
        <f>ALL!Y10</f>
        <v>1.5047E-9</v>
      </c>
      <c r="V75" s="46">
        <f>ALL!Z10</f>
        <v>2.3035999999999999E-10</v>
      </c>
      <c r="W75" s="46">
        <f>ALL!AA10</f>
        <v>4.0387000000000002E-11</v>
      </c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63" customFormat="1" ht="21.75" thickBot="1" x14ac:dyDescent="0.4">
      <c r="A76" s="56" t="str">
        <f>ALL!E11</f>
        <v>(l)Ga2Se3</v>
      </c>
      <c r="B76" s="46">
        <f>ALL!F11</f>
        <v>3.8941000000000003E-2</v>
      </c>
      <c r="C76" s="46">
        <f>ALL!G11</f>
        <v>4.3164000000000001E-2</v>
      </c>
      <c r="D76" s="46">
        <f>ALL!H11</f>
        <v>4.6331999999999998E-2</v>
      </c>
      <c r="E76" s="46">
        <f>ALL!I11</f>
        <v>4.7402E-2</v>
      </c>
      <c r="F76" s="46">
        <f>ALL!J11</f>
        <v>4.8917000000000002E-2</v>
      </c>
      <c r="G76" s="46">
        <f>ALL!K11</f>
        <v>5.2613E-2</v>
      </c>
      <c r="H76" s="46">
        <f>ALL!L11</f>
        <v>5.6087999999999999E-2</v>
      </c>
      <c r="I76" s="46">
        <f>ALL!M11</f>
        <v>1.0441999999999999E-3</v>
      </c>
      <c r="J76" s="46">
        <f>ALL!N11</f>
        <v>1.0938E-7</v>
      </c>
      <c r="K76" s="46">
        <f>ALL!O11</f>
        <v>2.1668999999999999E-11</v>
      </c>
      <c r="L76" s="46">
        <f>ALL!P11</f>
        <v>7.6620999999999996E-15</v>
      </c>
      <c r="M76" s="46">
        <f>ALL!Q11</f>
        <v>4.5167E-18</v>
      </c>
      <c r="N76" s="46">
        <f>ALL!R11</f>
        <v>4.1988000000000002E-21</v>
      </c>
      <c r="O76" s="46">
        <f>ALL!S11</f>
        <v>1.3557999999999999E-31</v>
      </c>
      <c r="P76" s="46">
        <f>ALL!T11</f>
        <v>0</v>
      </c>
      <c r="Q76" s="46">
        <f>ALL!U11</f>
        <v>0</v>
      </c>
      <c r="R76" s="46">
        <f>ALL!V11</f>
        <v>0</v>
      </c>
      <c r="S76" s="46">
        <f>ALL!W11</f>
        <v>0</v>
      </c>
      <c r="T76" s="46">
        <f>ALL!X11</f>
        <v>0</v>
      </c>
      <c r="U76" s="46">
        <f>ALL!Y11</f>
        <v>0</v>
      </c>
      <c r="V76" s="46">
        <f>ALL!Z11</f>
        <v>0</v>
      </c>
      <c r="W76" s="46">
        <f>ALL!AA11</f>
        <v>0</v>
      </c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63" customFormat="1" ht="21.75" thickBot="1" x14ac:dyDescent="0.4">
      <c r="A77" s="56" t="str">
        <f>ALL!E12</f>
        <v>(l)Ge</v>
      </c>
      <c r="B77" s="46">
        <f>ALL!F12</f>
        <v>7.8764000000000003E-7</v>
      </c>
      <c r="C77" s="46">
        <f>ALL!G12</f>
        <v>7.4715999999999998E-6</v>
      </c>
      <c r="D77" s="46">
        <f>ALL!H12</f>
        <v>9.4738E-5</v>
      </c>
      <c r="E77" s="46">
        <f>ALL!I12</f>
        <v>9.3227000000000002E-4</v>
      </c>
      <c r="F77" s="46">
        <f>ALL!J12</f>
        <v>5.9503999999999998E-3</v>
      </c>
      <c r="G77" s="46">
        <f>ALL!K12</f>
        <v>2.1070999999999999E-2</v>
      </c>
      <c r="H77" s="46">
        <f>ALL!L12</f>
        <v>4.1383000000000003E-2</v>
      </c>
      <c r="I77" s="46">
        <f>ALL!M12</f>
        <v>5.2893000000000003E-2</v>
      </c>
      <c r="J77" s="46">
        <f>ALL!N12</f>
        <v>5.7925999999999998E-2</v>
      </c>
      <c r="K77" s="46">
        <f>ALL!O12</f>
        <v>5.9372000000000001E-2</v>
      </c>
      <c r="L77" s="46">
        <f>ALL!P12</f>
        <v>5.9795000000000001E-2</v>
      </c>
      <c r="M77" s="46">
        <f>ALL!Q12</f>
        <v>5.9928000000000002E-2</v>
      </c>
      <c r="N77" s="46">
        <f>ALL!R12</f>
        <v>5.9972999999999999E-2</v>
      </c>
      <c r="O77" s="46">
        <f>ALL!S12</f>
        <v>5.9998999999999997E-2</v>
      </c>
      <c r="P77" s="46">
        <f>ALL!T12</f>
        <v>0.06</v>
      </c>
      <c r="Q77" s="46">
        <f>ALL!U12</f>
        <v>0.06</v>
      </c>
      <c r="R77" s="46">
        <f>ALL!V12</f>
        <v>0.06</v>
      </c>
      <c r="S77" s="46">
        <f>ALL!W12</f>
        <v>0.06</v>
      </c>
      <c r="T77" s="46">
        <f>ALL!X12</f>
        <v>0.06</v>
      </c>
      <c r="U77" s="46">
        <f>ALL!Y12</f>
        <v>0.06</v>
      </c>
      <c r="V77" s="46">
        <f>ALL!Z12</f>
        <v>0.06</v>
      </c>
      <c r="W77" s="46">
        <f>ALL!AA12</f>
        <v>0.06</v>
      </c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63" customFormat="1" ht="21.75" thickBot="1" x14ac:dyDescent="0.4">
      <c r="A78" s="56" t="str">
        <f>ALL!E13</f>
        <v>(l)Ga</v>
      </c>
      <c r="B78" s="46">
        <f>ALL!F13</f>
        <v>6.9119E-21</v>
      </c>
      <c r="C78" s="46">
        <f>ALL!G13</f>
        <v>3.1046E-17</v>
      </c>
      <c r="D78" s="46">
        <f>ALL!H13</f>
        <v>1.1613000000000001E-13</v>
      </c>
      <c r="E78" s="46">
        <f>ALL!I13</f>
        <v>2.0468999999999999E-10</v>
      </c>
      <c r="F78" s="46">
        <f>ALL!J13</f>
        <v>1.4782000000000001E-7</v>
      </c>
      <c r="G78" s="46">
        <f>ALL!K13</f>
        <v>4.8347000000000003E-5</v>
      </c>
      <c r="H78" s="46">
        <f>ALL!L13</f>
        <v>9.5520999999999991E-3</v>
      </c>
      <c r="I78" s="46">
        <f>ALL!M13</f>
        <v>0.19738</v>
      </c>
      <c r="J78" s="46">
        <f>ALL!N13</f>
        <v>0.2</v>
      </c>
      <c r="K78" s="46">
        <f>ALL!O13</f>
        <v>0.2</v>
      </c>
      <c r="L78" s="46">
        <f>ALL!P13</f>
        <v>0.2</v>
      </c>
      <c r="M78" s="46">
        <f>ALL!Q13</f>
        <v>0.2</v>
      </c>
      <c r="N78" s="46">
        <f>ALL!R13</f>
        <v>0.2</v>
      </c>
      <c r="O78" s="46">
        <f>ALL!S13</f>
        <v>0.2</v>
      </c>
      <c r="P78" s="46">
        <f>ALL!T13</f>
        <v>0.2</v>
      </c>
      <c r="Q78" s="46">
        <f>ALL!U13</f>
        <v>0.2</v>
      </c>
      <c r="R78" s="46">
        <f>ALL!V13</f>
        <v>0.2</v>
      </c>
      <c r="S78" s="46">
        <f>ALL!W13</f>
        <v>0.2</v>
      </c>
      <c r="T78" s="46">
        <f>ALL!X13</f>
        <v>0.2</v>
      </c>
      <c r="U78" s="46">
        <f>ALL!Y13</f>
        <v>0.2</v>
      </c>
      <c r="V78" s="46">
        <f>ALL!Z13</f>
        <v>0.2</v>
      </c>
      <c r="W78" s="46">
        <f>ALL!AA13</f>
        <v>0.2</v>
      </c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63" customFormat="1" ht="21.75" thickBot="1" x14ac:dyDescent="0.4">
      <c r="A79" s="56" t="str">
        <f>ALL!E14</f>
        <v>(l)Se</v>
      </c>
      <c r="B79" s="46">
        <f>ALL!F14</f>
        <v>6.5137E-9</v>
      </c>
      <c r="C79" s="46">
        <f>ALL!G14</f>
        <v>1.8022999999999999E-8</v>
      </c>
      <c r="D79" s="46">
        <f>ALL!H14</f>
        <v>1.9216000000000001E-8</v>
      </c>
      <c r="E79" s="46">
        <f>ALL!I14</f>
        <v>1.4127999999999999E-8</v>
      </c>
      <c r="F79" s="46">
        <f>ALL!J14</f>
        <v>1.0792E-8</v>
      </c>
      <c r="G79" s="46">
        <f>ALL!K14</f>
        <v>9.9617999999999992E-9</v>
      </c>
      <c r="H79" s="46">
        <f>ALL!L14</f>
        <v>1.0096E-8</v>
      </c>
      <c r="I79" s="46">
        <f>ALL!M14</f>
        <v>2.1419000000000001E-8</v>
      </c>
      <c r="J79" s="46">
        <f>ALL!N14</f>
        <v>1.5926E-8</v>
      </c>
      <c r="K79" s="46">
        <f>ALL!O14</f>
        <v>1.1574E-8</v>
      </c>
      <c r="L79" s="46">
        <f>ALL!P14</f>
        <v>8.3898000000000001E-9</v>
      </c>
      <c r="M79" s="46">
        <f>ALL!Q14</f>
        <v>6.0866000000000001E-9</v>
      </c>
      <c r="N79" s="46">
        <f>ALL!R14</f>
        <v>4.4243000000000001E-9</v>
      </c>
      <c r="O79" s="46">
        <f>ALL!S14</f>
        <v>1.2651999999999999E-9</v>
      </c>
      <c r="P79" s="46">
        <f>ALL!T14</f>
        <v>3.7555000000000001E-10</v>
      </c>
      <c r="Q79" s="46">
        <f>ALL!U14</f>
        <v>1.1495E-10</v>
      </c>
      <c r="R79" s="46">
        <f>ALL!V14</f>
        <v>8.5818999999999999E-11</v>
      </c>
      <c r="S79" s="46">
        <f>ALL!W14</f>
        <v>6.4141000000000006E-11</v>
      </c>
      <c r="T79" s="46">
        <f>ALL!X14</f>
        <v>4.7985000000000003E-11</v>
      </c>
      <c r="U79" s="46">
        <f>ALL!Y14</f>
        <v>3.5928000000000001E-11</v>
      </c>
      <c r="V79" s="46">
        <f>ALL!Z14</f>
        <v>1.135E-11</v>
      </c>
      <c r="W79" s="46">
        <f>ALL!AA14</f>
        <v>3.5938999999999999E-12</v>
      </c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63" customFormat="1" ht="21.75" thickBot="1" x14ac:dyDescent="0.4">
      <c r="A80" s="56" t="str">
        <f>ALL!E15</f>
        <v>(l)Se[a]</v>
      </c>
      <c r="B80" s="46">
        <f>ALL!F15</f>
        <v>1.8050999999999999E-9</v>
      </c>
      <c r="C80" s="46">
        <f>ALL!G15</f>
        <v>6.1321000000000004E-9</v>
      </c>
      <c r="D80" s="46">
        <f>ALL!H15</f>
        <v>7.7454999999999998E-9</v>
      </c>
      <c r="E80" s="46">
        <f>ALL!I15</f>
        <v>6.5640999999999997E-9</v>
      </c>
      <c r="F80" s="46">
        <f>ALL!J15</f>
        <v>5.6573000000000003E-9</v>
      </c>
      <c r="G80" s="46">
        <f>ALL!K15</f>
        <v>5.7921000000000003E-9</v>
      </c>
      <c r="H80" s="46">
        <f>ALL!L15</f>
        <v>6.3408999999999999E-9</v>
      </c>
      <c r="I80" s="46">
        <f>ALL!M15</f>
        <v>1.3219000000000001E-8</v>
      </c>
      <c r="J80" s="46">
        <f>ALL!N15</f>
        <v>9.6430000000000007E-9</v>
      </c>
      <c r="K80" s="46">
        <f>ALL!O15</f>
        <v>6.8697E-9</v>
      </c>
      <c r="L80" s="46">
        <f>ALL!P15</f>
        <v>4.8790000000000002E-9</v>
      </c>
      <c r="M80" s="46">
        <f>ALL!Q15</f>
        <v>3.4675999999999999E-9</v>
      </c>
      <c r="N80" s="46">
        <f>ALL!R15</f>
        <v>2.4694000000000002E-9</v>
      </c>
      <c r="O80" s="46">
        <f>ALL!S15</f>
        <v>6.5206000000000002E-10</v>
      </c>
      <c r="P80" s="46">
        <f>ALL!T15</f>
        <v>1.7954999999999999E-10</v>
      </c>
      <c r="Q80" s="46">
        <f>ALL!U15</f>
        <v>5.1136000000000002E-11</v>
      </c>
      <c r="R80" s="46">
        <f>ALL!V15</f>
        <v>3.7508999999999999E-11</v>
      </c>
      <c r="S80" s="46">
        <f>ALL!W15</f>
        <v>2.7548999999999999E-11</v>
      </c>
      <c r="T80" s="46">
        <f>ALL!X15</f>
        <v>2.0257999999999999E-11</v>
      </c>
      <c r="U80" s="46">
        <f>ALL!Y15</f>
        <v>1.4910999999999999E-11</v>
      </c>
      <c r="V80" s="46">
        <f>ALL!Z15</f>
        <v>4.4090000000000003E-12</v>
      </c>
      <c r="W80" s="46">
        <f>ALL!AA15</f>
        <v>1.311E-12</v>
      </c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63" customFormat="1" ht="21.75" thickBot="1" x14ac:dyDescent="0.4">
      <c r="A81" s="56" t="str">
        <f>ALL!E16</f>
        <v>(l)Se[m]</v>
      </c>
      <c r="B81" s="46">
        <f>ALL!F16</f>
        <v>7.5507999999999999E-3</v>
      </c>
      <c r="C81" s="46">
        <f>ALL!G16</f>
        <v>3.1889000000000001E-2</v>
      </c>
      <c r="D81" s="46">
        <f>ALL!H16</f>
        <v>5.2658999999999997E-2</v>
      </c>
      <c r="E81" s="46">
        <f>ALL!I16</f>
        <v>6.0241000000000003E-2</v>
      </c>
      <c r="F81" s="46">
        <f>ALL!J16</f>
        <v>7.1516999999999997E-2</v>
      </c>
      <c r="G81" s="46">
        <f>ALL!K16</f>
        <v>0.10212</v>
      </c>
      <c r="H81" s="46">
        <f>ALL!L16</f>
        <v>0.15708</v>
      </c>
      <c r="I81" s="46">
        <f>ALL!M16</f>
        <v>0.46184999999999998</v>
      </c>
      <c r="J81" s="46">
        <f>ALL!N16</f>
        <v>0.47585</v>
      </c>
      <c r="K81" s="46">
        <f>ALL!O16</f>
        <v>0.47874</v>
      </c>
      <c r="L81" s="46">
        <f>ALL!P16</f>
        <v>0.47959000000000002</v>
      </c>
      <c r="M81" s="46">
        <f>ALL!Q16</f>
        <v>0.47986000000000001</v>
      </c>
      <c r="N81" s="46">
        <f>ALL!R16</f>
        <v>0.47994999999999999</v>
      </c>
      <c r="O81" s="46">
        <f>ALL!S16</f>
        <v>0.48</v>
      </c>
      <c r="P81" s="46">
        <f>ALL!T16</f>
        <v>0.48</v>
      </c>
      <c r="Q81" s="46">
        <f>ALL!U16</f>
        <v>0.48</v>
      </c>
      <c r="R81" s="46">
        <f>ALL!V16</f>
        <v>0.48</v>
      </c>
      <c r="S81" s="46">
        <f>ALL!W16</f>
        <v>0.48</v>
      </c>
      <c r="T81" s="46">
        <f>ALL!X16</f>
        <v>0.48</v>
      </c>
      <c r="U81" s="46">
        <f>ALL!Y16</f>
        <v>0.48</v>
      </c>
      <c r="V81" s="46">
        <f>ALL!Z16</f>
        <v>0.48</v>
      </c>
      <c r="W81" s="46">
        <f>ALL!AA16</f>
        <v>0.48</v>
      </c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63" customFormat="1" ht="21.75" thickBot="1" x14ac:dyDescent="0.4">
      <c r="A82" s="56" t="str">
        <f>ALL!E17</f>
        <v>(l)Se[r]</v>
      </c>
      <c r="B82" s="46">
        <f>ALL!F17</f>
        <v>3.0203999999999999E-11</v>
      </c>
      <c r="C82" s="46">
        <f>ALL!G17</f>
        <v>1.6382999999999999E-10</v>
      </c>
      <c r="D82" s="46">
        <f>ALL!H17</f>
        <v>3.0786000000000001E-10</v>
      </c>
      <c r="E82" s="46">
        <f>ALL!I17</f>
        <v>3.6768000000000002E-10</v>
      </c>
      <c r="F82" s="46">
        <f>ALL!J17</f>
        <v>4.2795999999999999E-10</v>
      </c>
      <c r="G82" s="46">
        <f>ALL!K17</f>
        <v>5.7186000000000003E-10</v>
      </c>
      <c r="H82" s="46">
        <f>ALL!L17</f>
        <v>7.9461000000000001E-10</v>
      </c>
      <c r="I82" s="46">
        <f>ALL!M17</f>
        <v>2.0544999999999999E-9</v>
      </c>
      <c r="J82" s="46">
        <f>ALL!N17</f>
        <v>1.8229E-9</v>
      </c>
      <c r="K82" s="46">
        <f>ALL!O17</f>
        <v>1.5537999999999999E-9</v>
      </c>
      <c r="L82" s="46">
        <f>ALL!P17</f>
        <v>1.3017E-9</v>
      </c>
      <c r="M82" s="46">
        <f>ALL!Q17</f>
        <v>1.0779E-9</v>
      </c>
      <c r="N82" s="46">
        <f>ALL!R17</f>
        <v>8.8486999999999996E-10</v>
      </c>
      <c r="O82" s="46">
        <f>ALL!S17</f>
        <v>3.7916999999999999E-10</v>
      </c>
      <c r="P82" s="46">
        <f>ALL!T17</f>
        <v>1.5362999999999999E-10</v>
      </c>
      <c r="Q82" s="46">
        <f>ALL!U17</f>
        <v>6.0235999999999995E-11</v>
      </c>
      <c r="R82" s="46">
        <f>ALL!V17</f>
        <v>4.7475999999999998E-11</v>
      </c>
      <c r="S82" s="46">
        <f>ALL!W17</f>
        <v>3.7364999999999998E-11</v>
      </c>
      <c r="T82" s="46">
        <f>ALL!X17</f>
        <v>2.9366999999999998E-11</v>
      </c>
      <c r="U82" s="46">
        <f>ALL!Y17</f>
        <v>2.3048E-11</v>
      </c>
      <c r="V82" s="46">
        <f>ALL!Z17</f>
        <v>8.6270000000000003E-12</v>
      </c>
      <c r="W82" s="46">
        <f>ALL!AA17</f>
        <v>3.1578000000000001E-12</v>
      </c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63" customFormat="1" ht="21.75" thickBot="1" x14ac:dyDescent="0.4">
      <c r="A83" s="56" t="str">
        <f>ALL!E18</f>
        <v>(l)Ge[c]</v>
      </c>
      <c r="B83" s="46">
        <f>ALL!F18</f>
        <v>7.8764000000000003E-7</v>
      </c>
      <c r="C83" s="46">
        <f>ALL!G18</f>
        <v>7.4715999999999998E-6</v>
      </c>
      <c r="D83" s="46">
        <f>ALL!H18</f>
        <v>9.4738E-5</v>
      </c>
      <c r="E83" s="46">
        <f>ALL!I18</f>
        <v>9.3227000000000002E-4</v>
      </c>
      <c r="F83" s="46">
        <f>ALL!J18</f>
        <v>5.9503999999999998E-3</v>
      </c>
      <c r="G83" s="46">
        <f>ALL!K18</f>
        <v>2.1070999999999999E-2</v>
      </c>
      <c r="H83" s="46">
        <f>ALL!L18</f>
        <v>4.1383000000000003E-2</v>
      </c>
      <c r="I83" s="46">
        <f>ALL!M18</f>
        <v>5.2893000000000003E-2</v>
      </c>
      <c r="J83" s="46">
        <f>ALL!N18</f>
        <v>5.7925999999999998E-2</v>
      </c>
      <c r="K83" s="46">
        <f>ALL!O18</f>
        <v>5.9372000000000001E-2</v>
      </c>
      <c r="L83" s="46">
        <f>ALL!P18</f>
        <v>5.9795000000000001E-2</v>
      </c>
      <c r="M83" s="46">
        <f>ALL!Q18</f>
        <v>5.9928000000000002E-2</v>
      </c>
      <c r="N83" s="46">
        <f>ALL!R18</f>
        <v>5.9972999999999999E-2</v>
      </c>
      <c r="O83" s="46">
        <f>ALL!S18</f>
        <v>5.9998999999999997E-2</v>
      </c>
      <c r="P83" s="46">
        <f>ALL!T18</f>
        <v>0.06</v>
      </c>
      <c r="Q83" s="46">
        <f>ALL!U18</f>
        <v>0.06</v>
      </c>
      <c r="R83" s="46">
        <f>ALL!V18</f>
        <v>0.06</v>
      </c>
      <c r="S83" s="46">
        <f>ALL!W18</f>
        <v>0.06</v>
      </c>
      <c r="T83" s="46">
        <f>ALL!X18</f>
        <v>0.06</v>
      </c>
      <c r="U83" s="46">
        <f>ALL!Y18</f>
        <v>0.06</v>
      </c>
      <c r="V83" s="46">
        <f>ALL!Z18</f>
        <v>0.06</v>
      </c>
      <c r="W83" s="46">
        <f>ALL!AA18</f>
        <v>0.06</v>
      </c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s="63" customFormat="1" ht="21.75" thickBot="1" x14ac:dyDescent="0.4">
      <c r="A84" s="56" t="str">
        <f>ALL!E19</f>
        <v>H(Ar)</v>
      </c>
      <c r="B84" s="46">
        <f>ALL!F19</f>
        <v>-18.88</v>
      </c>
      <c r="C84" s="46">
        <f>ALL!G19</f>
        <v>-18.87</v>
      </c>
      <c r="D84" s="46">
        <f>ALL!H19</f>
        <v>-18.899999999999999</v>
      </c>
      <c r="E84" s="46">
        <f>ALL!I19</f>
        <v>-18.940000000000001</v>
      </c>
      <c r="F84" s="46">
        <f>ALL!J19</f>
        <v>-18.989999999999998</v>
      </c>
      <c r="G84" s="46">
        <f>ALL!K19</f>
        <v>-19.04</v>
      </c>
      <c r="H84" s="46">
        <f>ALL!L19</f>
        <v>-19.07</v>
      </c>
      <c r="I84" s="46">
        <f>ALL!M19</f>
        <v>-18.96</v>
      </c>
      <c r="J84" s="46">
        <f>ALL!N19</f>
        <v>-19.03</v>
      </c>
      <c r="K84" s="46">
        <f>ALL!O19</f>
        <v>-19.100000000000001</v>
      </c>
      <c r="L84" s="46">
        <f>ALL!P19</f>
        <v>-19.170000000000002</v>
      </c>
      <c r="M84" s="46">
        <f>ALL!Q19</f>
        <v>-19.239999999999998</v>
      </c>
      <c r="N84" s="46">
        <f>ALL!R19</f>
        <v>-19.309999999999999</v>
      </c>
      <c r="O84" s="46">
        <f>ALL!S19</f>
        <v>-19.57</v>
      </c>
      <c r="P84" s="46">
        <f>ALL!T19</f>
        <v>-19.82</v>
      </c>
      <c r="Q84" s="46">
        <f>ALL!U19</f>
        <v>-20.05</v>
      </c>
      <c r="R84" s="46">
        <f>ALL!V19</f>
        <v>-20.11</v>
      </c>
      <c r="S84" s="46">
        <f>ALL!W19</f>
        <v>-20.16</v>
      </c>
      <c r="T84" s="46">
        <f>ALL!X19</f>
        <v>-20.21</v>
      </c>
      <c r="U84" s="46">
        <f>ALL!Y19</f>
        <v>-20.260000000000002</v>
      </c>
      <c r="V84" s="46">
        <f>ALL!Z19</f>
        <v>-20.46</v>
      </c>
      <c r="W84" s="46">
        <f>ALL!AA19</f>
        <v>-20.65</v>
      </c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</row>
    <row r="85" spans="1:194" s="63" customFormat="1" ht="21.75" thickBot="1" x14ac:dyDescent="0.4">
      <c r="A85" s="56" t="str">
        <f>ALL!E20</f>
        <v>H(Ga)</v>
      </c>
      <c r="B85" s="46">
        <f>ALL!F20</f>
        <v>-60.79</v>
      </c>
      <c r="C85" s="46">
        <f>ALL!G20</f>
        <v>-53.82</v>
      </c>
      <c r="D85" s="46">
        <f>ALL!H20</f>
        <v>-47.01</v>
      </c>
      <c r="E85" s="46">
        <f>ALL!I20</f>
        <v>-40.9</v>
      </c>
      <c r="F85" s="46">
        <f>ALL!J20</f>
        <v>-35.71</v>
      </c>
      <c r="G85" s="46">
        <f>ALL!K20</f>
        <v>-31.39</v>
      </c>
      <c r="H85" s="46">
        <f>ALL!L20</f>
        <v>-27.66</v>
      </c>
      <c r="I85" s="46">
        <f>ALL!M20</f>
        <v>-26.79</v>
      </c>
      <c r="J85" s="46">
        <f>ALL!N20</f>
        <v>-28.11</v>
      </c>
      <c r="K85" s="46">
        <f>ALL!O20</f>
        <v>-29.41</v>
      </c>
      <c r="L85" s="46">
        <f>ALL!P20</f>
        <v>-30.69</v>
      </c>
      <c r="M85" s="46">
        <f>ALL!Q20</f>
        <v>-31.94</v>
      </c>
      <c r="N85" s="46">
        <f>ALL!R20</f>
        <v>-33.159999999999997</v>
      </c>
      <c r="O85" s="46">
        <f>ALL!S20</f>
        <v>-37.67</v>
      </c>
      <c r="P85" s="46">
        <f>ALL!T20</f>
        <v>-41.43</v>
      </c>
      <c r="Q85" s="46">
        <f>ALL!U20</f>
        <v>-44.33</v>
      </c>
      <c r="R85" s="46">
        <f>ALL!V20</f>
        <v>-44.9</v>
      </c>
      <c r="S85" s="46">
        <f>ALL!W20</f>
        <v>-45.42</v>
      </c>
      <c r="T85" s="46">
        <f>ALL!X20</f>
        <v>-45.86</v>
      </c>
      <c r="U85" s="46">
        <f>ALL!Y20</f>
        <v>-46.25</v>
      </c>
      <c r="V85" s="46">
        <f>ALL!Z20</f>
        <v>-47.11</v>
      </c>
      <c r="W85" s="46">
        <f>ALL!AA20</f>
        <v>-46.85</v>
      </c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</row>
    <row r="86" spans="1:194" ht="21.75" thickBot="1" x14ac:dyDescent="0.4">
      <c r="A86" s="56" t="str">
        <f>ALL!E21</f>
        <v>H(Ge)</v>
      </c>
      <c r="B86" s="46">
        <f>ALL!F21</f>
        <v>-16</v>
      </c>
      <c r="C86" s="46">
        <f>ALL!G21</f>
        <v>-13.92</v>
      </c>
      <c r="D86" s="46">
        <f>ALL!H21</f>
        <v>-11.54</v>
      </c>
      <c r="E86" s="46">
        <f>ALL!I21</f>
        <v>-9.3460000000000001</v>
      </c>
      <c r="F86" s="46">
        <f>ALL!J21</f>
        <v>-7.6120000000000001</v>
      </c>
      <c r="G86" s="46">
        <f>ALL!K21</f>
        <v>-6.5529999999999999</v>
      </c>
      <c r="H86" s="46">
        <f>ALL!L21</f>
        <v>-6.1760000000000002</v>
      </c>
      <c r="I86" s="46">
        <f>ALL!M21</f>
        <v>-6.8330000000000002</v>
      </c>
      <c r="J86" s="46">
        <f>ALL!N21</f>
        <v>-6.843</v>
      </c>
      <c r="K86" s="46">
        <f>ALL!O21</f>
        <v>-6.9039999999999999</v>
      </c>
      <c r="L86" s="46">
        <f>ALL!P21</f>
        <v>-6.9809999999999999</v>
      </c>
      <c r="M86" s="46">
        <f>ALL!Q21</f>
        <v>-7.0620000000000003</v>
      </c>
      <c r="N86" s="46">
        <f>ALL!R21</f>
        <v>-7.1429999999999998</v>
      </c>
      <c r="O86" s="46">
        <f>ALL!S21</f>
        <v>-7.4630000000000001</v>
      </c>
      <c r="P86" s="46">
        <f>ALL!T21</f>
        <v>-7.7649999999999997</v>
      </c>
      <c r="Q86" s="46">
        <f>ALL!U21</f>
        <v>-8.048</v>
      </c>
      <c r="R86" s="46">
        <f>ALL!V21</f>
        <v>-8.1159999999999997</v>
      </c>
      <c r="S86" s="46">
        <f>ALL!W21</f>
        <v>-8.1820000000000004</v>
      </c>
      <c r="T86" s="46">
        <f>ALL!X21</f>
        <v>-8.2479999999999993</v>
      </c>
      <c r="U86" s="46">
        <f>ALL!Y21</f>
        <v>-8.3130000000000006</v>
      </c>
      <c r="V86" s="46">
        <f>ALL!Z21</f>
        <v>-8.5609999999999999</v>
      </c>
      <c r="W86" s="46">
        <f>ALL!AA21</f>
        <v>-8.7949999999999999</v>
      </c>
    </row>
    <row r="87" spans="1:194" ht="21.75" thickBot="1" x14ac:dyDescent="0.4">
      <c r="A87" s="56" t="str">
        <f>ALL!E22</f>
        <v>H(Se)</v>
      </c>
      <c r="B87" s="46">
        <f>ALL!F22</f>
        <v>-22.14</v>
      </c>
      <c r="C87" s="46">
        <f>ALL!G22</f>
        <v>-21.3</v>
      </c>
      <c r="D87" s="46">
        <f>ALL!H22</f>
        <v>-21.39</v>
      </c>
      <c r="E87" s="46">
        <f>ALL!I22</f>
        <v>-21.8</v>
      </c>
      <c r="F87" s="46">
        <f>ALL!J22</f>
        <v>-22.19</v>
      </c>
      <c r="G87" s="46">
        <f>ALL!K22</f>
        <v>-22.48</v>
      </c>
      <c r="H87" s="46">
        <f>ALL!L22</f>
        <v>-22.79</v>
      </c>
      <c r="I87" s="46">
        <f>ALL!M22</f>
        <v>-23.04</v>
      </c>
      <c r="J87" s="46">
        <f>ALL!N22</f>
        <v>-23.53</v>
      </c>
      <c r="K87" s="46">
        <f>ALL!O22</f>
        <v>-24.03</v>
      </c>
      <c r="L87" s="46">
        <f>ALL!P22</f>
        <v>-24.51</v>
      </c>
      <c r="M87" s="46">
        <f>ALL!Q22</f>
        <v>-24.99</v>
      </c>
      <c r="N87" s="46">
        <f>ALL!R22</f>
        <v>-25.47</v>
      </c>
      <c r="O87" s="46">
        <f>ALL!S22</f>
        <v>-27.28</v>
      </c>
      <c r="P87" s="46">
        <f>ALL!T22</f>
        <v>-29</v>
      </c>
      <c r="Q87" s="46">
        <f>ALL!U22</f>
        <v>-30.63</v>
      </c>
      <c r="R87" s="46">
        <f>ALL!V22</f>
        <v>-31.03</v>
      </c>
      <c r="S87" s="46">
        <f>ALL!W22</f>
        <v>-31.42</v>
      </c>
      <c r="T87" s="46">
        <f>ALL!X22</f>
        <v>-31.81</v>
      </c>
      <c r="U87" s="46">
        <f>ALL!Y22</f>
        <v>-32.200000000000003</v>
      </c>
      <c r="V87" s="46">
        <f>ALL!Z22</f>
        <v>-33.729999999999997</v>
      </c>
      <c r="W87" s="46">
        <f>ALL!AA22</f>
        <v>-35.22</v>
      </c>
    </row>
    <row r="88" spans="1:194" ht="22.5" thickTop="1" thickBot="1" x14ac:dyDescent="0.4">
      <c r="A88" s="88">
        <f>ALL!E23</f>
        <v>0</v>
      </c>
    </row>
    <row r="89" spans="1:194" ht="22.5" thickTop="1" thickBot="1" x14ac:dyDescent="0.4">
      <c r="A89" s="88">
        <f>ALL!E24</f>
        <v>0</v>
      </c>
    </row>
    <row r="90" spans="1:194" ht="22.5" thickTop="1" thickBot="1" x14ac:dyDescent="0.4">
      <c r="A90" s="88">
        <f>ALL!E25</f>
        <v>0</v>
      </c>
    </row>
    <row r="91" spans="1:194" ht="22.5" thickTop="1" thickBot="1" x14ac:dyDescent="0.4">
      <c r="A91" s="88">
        <f>ALL!E26</f>
        <v>0</v>
      </c>
    </row>
    <row r="92" spans="1:194" ht="22.5" thickTop="1" thickBot="1" x14ac:dyDescent="0.4">
      <c r="A92" s="88">
        <f>ALL!E27</f>
        <v>0</v>
      </c>
    </row>
    <row r="93" spans="1:194" ht="22.5" thickTop="1" thickBot="1" x14ac:dyDescent="0.4">
      <c r="A93" s="88">
        <f>ALL!E28</f>
        <v>0</v>
      </c>
    </row>
    <row r="94" spans="1:194" ht="22.5" thickTop="1" thickBot="1" x14ac:dyDescent="0.4">
      <c r="A94" s="88">
        <f>ALL!E29</f>
        <v>0</v>
      </c>
    </row>
    <row r="95" spans="1:194" ht="22.5" thickTop="1" thickBot="1" x14ac:dyDescent="0.4">
      <c r="A95" s="88">
        <f>ALL!E30</f>
        <v>0</v>
      </c>
    </row>
    <row r="96" spans="1:194" ht="22.5" thickTop="1" thickBot="1" x14ac:dyDescent="0.4">
      <c r="A96" s="88">
        <f>ALL!E31</f>
        <v>0</v>
      </c>
    </row>
    <row r="97" spans="1:1" ht="22.5" thickTop="1" thickBot="1" x14ac:dyDescent="0.4">
      <c r="A97" s="88">
        <f>ALL!E32</f>
        <v>0</v>
      </c>
    </row>
    <row r="98" spans="1:1" ht="22.5" thickTop="1" thickBot="1" x14ac:dyDescent="0.4">
      <c r="A98" s="88">
        <f>ALL!E33</f>
        <v>1</v>
      </c>
    </row>
    <row r="99" spans="1:1" ht="21.75" thickTop="1" x14ac:dyDescent="0.35"/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14</xdr:col>
                    <xdr:colOff>809625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A3C7D-FAB1-47B8-BDC2-479EABDA68A5}">
  <sheetPr codeName="Лист7"/>
  <dimension ref="A1:BK14"/>
  <sheetViews>
    <sheetView topLeftCell="B1" zoomScale="85" zoomScaleNormal="85" workbookViewId="0">
      <selection activeCell="BN7" sqref="BN7"/>
    </sheetView>
  </sheetViews>
  <sheetFormatPr defaultRowHeight="21" x14ac:dyDescent="0.35"/>
  <cols>
    <col min="4" max="62" width="0" hidden="1" customWidth="1"/>
  </cols>
  <sheetData>
    <row r="1" spans="1:63" x14ac:dyDescent="0.35">
      <c r="A1">
        <v>460</v>
      </c>
      <c r="B1">
        <v>-200</v>
      </c>
    </row>
    <row r="2" spans="1:63" ht="21.75" thickBot="1" x14ac:dyDescent="0.4">
      <c r="A2">
        <v>460</v>
      </c>
      <c r="B2">
        <v>200</v>
      </c>
      <c r="C2" s="98">
        <v>100</v>
      </c>
      <c r="D2" s="98">
        <v>123.33333587646484</v>
      </c>
      <c r="E2" s="98">
        <v>146.66667175292969</v>
      </c>
      <c r="F2" s="98">
        <v>170</v>
      </c>
      <c r="G2" s="98">
        <v>193.33332824707031</v>
      </c>
      <c r="H2" s="98">
        <v>216.66667175292969</v>
      </c>
      <c r="I2" s="98">
        <v>240</v>
      </c>
      <c r="J2" s="98">
        <v>263.33334350585938</v>
      </c>
      <c r="K2" s="98">
        <v>286.66665649414063</v>
      </c>
      <c r="L2" s="98">
        <v>310</v>
      </c>
      <c r="M2" s="98">
        <v>333.33334350585938</v>
      </c>
      <c r="N2" s="98">
        <v>356.66665649414063</v>
      </c>
      <c r="O2" s="98">
        <v>380</v>
      </c>
      <c r="P2" s="98">
        <v>403.33334350585938</v>
      </c>
      <c r="Q2" s="98">
        <v>426.66665649414063</v>
      </c>
      <c r="R2" s="98">
        <v>450</v>
      </c>
      <c r="S2" s="98">
        <v>473.33334350585938</v>
      </c>
      <c r="T2" s="98">
        <v>496.66665649414063</v>
      </c>
      <c r="U2" s="98">
        <v>520</v>
      </c>
      <c r="V2" s="98">
        <v>543.33331298828125</v>
      </c>
      <c r="W2" s="98">
        <v>566.66668701171875</v>
      </c>
      <c r="X2" s="98">
        <v>590</v>
      </c>
      <c r="Y2" s="98">
        <v>613.33331298828125</v>
      </c>
      <c r="Z2" s="98">
        <v>636.66668701171875</v>
      </c>
      <c r="AA2" s="98">
        <v>660</v>
      </c>
      <c r="AB2" s="98">
        <v>683.33331298828125</v>
      </c>
      <c r="AC2" s="98">
        <v>706.66668701171875</v>
      </c>
      <c r="AD2" s="98">
        <v>730</v>
      </c>
      <c r="AE2" s="98">
        <v>753.33331298828125</v>
      </c>
      <c r="AF2" s="98">
        <v>776.66668701171875</v>
      </c>
      <c r="AG2" s="98">
        <v>800</v>
      </c>
      <c r="AH2" s="98">
        <v>823.33331298828125</v>
      </c>
      <c r="AI2" s="98">
        <v>846.66668701171875</v>
      </c>
      <c r="AJ2" s="98">
        <v>870</v>
      </c>
      <c r="AK2" s="98">
        <v>893.33331298828125</v>
      </c>
      <c r="AL2" s="98">
        <v>916.66668701171875</v>
      </c>
      <c r="AM2" s="98">
        <v>940</v>
      </c>
      <c r="AN2" s="98">
        <v>963.33331298828125</v>
      </c>
      <c r="AO2" s="98">
        <v>986.66668701171875</v>
      </c>
      <c r="AP2" s="98">
        <v>1010</v>
      </c>
      <c r="AQ2" s="98">
        <v>1033.3333740234375</v>
      </c>
      <c r="AR2" s="98">
        <v>1056.6666259765625</v>
      </c>
      <c r="AS2" s="98">
        <v>1080</v>
      </c>
      <c r="AT2" s="98">
        <v>1103.3333740234375</v>
      </c>
      <c r="AU2" s="98">
        <v>1126.6666259765625</v>
      </c>
      <c r="AV2" s="98">
        <v>1150</v>
      </c>
      <c r="AW2" s="98">
        <v>1173.3333740234375</v>
      </c>
      <c r="AX2" s="98">
        <v>1196.6666259765625</v>
      </c>
      <c r="AY2" s="98">
        <v>1220</v>
      </c>
      <c r="AZ2" s="98">
        <v>1243.3333740234375</v>
      </c>
      <c r="BA2" s="98">
        <v>1266.6666259765625</v>
      </c>
      <c r="BB2" s="98">
        <v>1290</v>
      </c>
      <c r="BC2" s="98">
        <v>1313.3333740234375</v>
      </c>
      <c r="BD2" s="98">
        <v>1336.6666259765625</v>
      </c>
      <c r="BE2" s="98">
        <v>1360</v>
      </c>
      <c r="BF2" s="98">
        <v>1383.3333740234375</v>
      </c>
      <c r="BG2" s="98">
        <v>1406.6666259765625</v>
      </c>
      <c r="BH2" s="98">
        <v>1430</v>
      </c>
      <c r="BI2" s="98">
        <v>1453.3333740234375</v>
      </c>
      <c r="BJ2" s="98">
        <v>1476.6666259765625</v>
      </c>
      <c r="BK2" s="98">
        <v>1500</v>
      </c>
    </row>
    <row r="3" spans="1:63" x14ac:dyDescent="0.35">
      <c r="A3" s="104" t="s">
        <v>275</v>
      </c>
      <c r="B3" s="89" t="s">
        <v>92</v>
      </c>
      <c r="C3" s="93">
        <v>-6.2407779693603516</v>
      </c>
      <c r="D3" s="93">
        <v>-7.6969594955444336</v>
      </c>
      <c r="E3" s="93">
        <v>-9.1531410217285156</v>
      </c>
      <c r="F3" s="93">
        <v>-10.609322547912598</v>
      </c>
      <c r="G3" s="93">
        <v>-12.06550407409668</v>
      </c>
      <c r="H3" s="93">
        <v>-13.521685600280762</v>
      </c>
      <c r="I3" s="93">
        <v>-14.977867126464844</v>
      </c>
      <c r="J3" s="93">
        <v>-16.434049606323242</v>
      </c>
      <c r="K3" s="93">
        <v>-17.890230178833008</v>
      </c>
      <c r="L3" s="93">
        <v>-18.623258590698242</v>
      </c>
      <c r="M3" s="93">
        <v>-18.649477005004883</v>
      </c>
      <c r="N3" s="93">
        <v>-18.675693511962891</v>
      </c>
      <c r="O3" s="93">
        <v>-18.701910018920898</v>
      </c>
      <c r="P3" s="93">
        <v>-18.728128433227539</v>
      </c>
      <c r="Q3" s="93">
        <v>-18.754344940185547</v>
      </c>
      <c r="R3" s="93">
        <v>-18.79835319519043</v>
      </c>
      <c r="S3" s="93">
        <v>-18.847255706787109</v>
      </c>
      <c r="T3" s="93">
        <v>-18.896158218383789</v>
      </c>
      <c r="U3" s="93">
        <v>-18.945194244384766</v>
      </c>
      <c r="V3" s="93">
        <v>-19.001077651977539</v>
      </c>
      <c r="W3" s="93">
        <v>-19.065269470214844</v>
      </c>
      <c r="X3" s="93">
        <v>-19.149101257324219</v>
      </c>
      <c r="Y3" s="93">
        <v>-19.232934951782227</v>
      </c>
      <c r="Z3" s="93">
        <v>-19.316766738891602</v>
      </c>
      <c r="AA3" s="93">
        <v>-19.400598526000977</v>
      </c>
      <c r="AB3" s="93">
        <v>-19.484432220458984</v>
      </c>
      <c r="AC3" s="93">
        <v>-19.565908432006836</v>
      </c>
      <c r="AD3" s="93">
        <v>-19.642753601074219</v>
      </c>
      <c r="AE3" s="93">
        <v>-19.719810485839844</v>
      </c>
      <c r="AF3" s="93">
        <v>-19.790090560913086</v>
      </c>
      <c r="AG3" s="93">
        <v>-19.853294372558594</v>
      </c>
      <c r="AH3" s="93">
        <v>-19.923154830932617</v>
      </c>
      <c r="AI3" s="93">
        <v>-20.000579833984375</v>
      </c>
      <c r="AJ3" s="93">
        <v>-20.082727432250977</v>
      </c>
      <c r="AK3" s="93">
        <v>-20.164875030517578</v>
      </c>
      <c r="AL3" s="93">
        <v>-20.247020721435547</v>
      </c>
      <c r="AM3" s="93">
        <v>-20.329168319702148</v>
      </c>
      <c r="AN3" s="93">
        <v>-20.41131591796875</v>
      </c>
      <c r="AO3" s="93">
        <v>-20.494970321655273</v>
      </c>
      <c r="AP3" s="93">
        <v>-20.578344345092773</v>
      </c>
      <c r="AQ3" s="93">
        <v>-20.6610107421875</v>
      </c>
      <c r="AR3" s="93">
        <v>-20.731718063354492</v>
      </c>
      <c r="AS3" s="93">
        <v>-20.798181533813477</v>
      </c>
      <c r="AT3" s="93">
        <v>-20.858732223510742</v>
      </c>
      <c r="AU3" s="93">
        <v>-20.905746459960938</v>
      </c>
      <c r="AV3" s="93">
        <v>-20.952762603759766</v>
      </c>
      <c r="AW3" s="93">
        <v>-20.999776840209961</v>
      </c>
      <c r="AX3" s="93">
        <v>-21.046791076660156</v>
      </c>
      <c r="AY3" s="93">
        <v>-21.093807220458984</v>
      </c>
      <c r="AZ3" s="93">
        <v>-21.137094497680664</v>
      </c>
      <c r="BA3" s="93">
        <v>-21.175689697265625</v>
      </c>
      <c r="BB3" s="93">
        <v>-21.214286804199219</v>
      </c>
      <c r="BC3" s="93">
        <v>-21.25288200378418</v>
      </c>
      <c r="BD3" s="93">
        <v>-21.291479110717773</v>
      </c>
      <c r="BE3" s="93">
        <v>-21.330076217651367</v>
      </c>
      <c r="BF3" s="93">
        <v>-21.364578247070313</v>
      </c>
      <c r="BG3" s="93">
        <v>-21.397661209106445</v>
      </c>
      <c r="BH3" s="93">
        <v>-21.430746078491211</v>
      </c>
      <c r="BI3" s="93">
        <v>-21.463830947875977</v>
      </c>
      <c r="BJ3" s="93">
        <v>-21.496915817260742</v>
      </c>
      <c r="BK3" s="94">
        <v>-21.530000686645508</v>
      </c>
    </row>
    <row r="4" spans="1:63" x14ac:dyDescent="0.35">
      <c r="A4" s="105"/>
      <c r="B4" s="92" t="s">
        <v>70</v>
      </c>
      <c r="C4" s="93">
        <v>-2.0945672988891602</v>
      </c>
      <c r="D4" s="93">
        <v>-2.5832996368408203</v>
      </c>
      <c r="E4" s="93">
        <v>-3.0720319747924805</v>
      </c>
      <c r="F4" s="93">
        <v>-3.5607643127441406</v>
      </c>
      <c r="G4" s="93">
        <v>-4.0494966506958008</v>
      </c>
      <c r="H4" s="93">
        <v>-4.5382289886474609</v>
      </c>
      <c r="I4" s="93">
        <v>-5.0269613265991211</v>
      </c>
      <c r="J4" s="93">
        <v>-5.5156941413879395</v>
      </c>
      <c r="K4" s="93">
        <v>-6.0044260025024414</v>
      </c>
      <c r="L4" s="93">
        <v>-6.3257269859313965</v>
      </c>
      <c r="M4" s="93">
        <v>-6.4833798408508301</v>
      </c>
      <c r="N4" s="93">
        <v>-6.6410326957702637</v>
      </c>
      <c r="O4" s="93">
        <v>-6.7986860275268555</v>
      </c>
      <c r="P4" s="93">
        <v>-6.9563388824462891</v>
      </c>
      <c r="Q4" s="93">
        <v>-7.1139917373657227</v>
      </c>
      <c r="R4" s="93">
        <v>-7.2553892135620117</v>
      </c>
      <c r="S4" s="93">
        <v>-7.3900966644287109</v>
      </c>
      <c r="T4" s="93">
        <v>-7.5207357406616211</v>
      </c>
      <c r="U4" s="93">
        <v>-7.650444507598877</v>
      </c>
      <c r="V4" s="93">
        <v>-7.781954288482666</v>
      </c>
      <c r="W4" s="93">
        <v>-7.9187793731689453</v>
      </c>
      <c r="X4" s="93">
        <v>-8.1061792373657227</v>
      </c>
      <c r="Y4" s="93">
        <v>-8.2935791015625</v>
      </c>
      <c r="Z4" s="93">
        <v>-8.4809799194335938</v>
      </c>
      <c r="AA4" s="93">
        <v>-8.6683797836303711</v>
      </c>
      <c r="AB4" s="93">
        <v>-8.8557796478271484</v>
      </c>
      <c r="AC4" s="93">
        <v>-9.0593729019165039</v>
      </c>
      <c r="AD4" s="93">
        <v>-9.2948026657104492</v>
      </c>
      <c r="AE4" s="93">
        <v>-9.5264291763305664</v>
      </c>
      <c r="AF4" s="93">
        <v>-9.7526493072509766</v>
      </c>
      <c r="AG4" s="93">
        <v>-9.9727811813354492</v>
      </c>
      <c r="AH4" s="93">
        <v>-10.180266380310059</v>
      </c>
      <c r="AI4" s="93">
        <v>-10.369768142700195</v>
      </c>
      <c r="AJ4" s="93">
        <v>-10.54804515838623</v>
      </c>
      <c r="AK4" s="93">
        <v>-10.726322174072266</v>
      </c>
      <c r="AL4" s="93">
        <v>-10.904599189758301</v>
      </c>
      <c r="AM4" s="93">
        <v>-11.082876205444336</v>
      </c>
      <c r="AN4" s="93">
        <v>-11.261153221130371</v>
      </c>
      <c r="AO4" s="93">
        <v>-11.411197662353516</v>
      </c>
      <c r="AP4" s="93">
        <v>-11.544319152832031</v>
      </c>
      <c r="AQ4" s="93">
        <v>-11.661515235900879</v>
      </c>
      <c r="AR4" s="93">
        <v>-11.767576217651367</v>
      </c>
      <c r="AS4" s="93">
        <v>-11.865151405334473</v>
      </c>
      <c r="AT4" s="93">
        <v>-11.952935218811035</v>
      </c>
      <c r="AU4" s="93">
        <v>-12.022586822509766</v>
      </c>
      <c r="AV4" s="93">
        <v>-12.092238426208496</v>
      </c>
      <c r="AW4" s="93">
        <v>-12.161890983581543</v>
      </c>
      <c r="AX4" s="93">
        <v>-12.231542587280273</v>
      </c>
      <c r="AY4" s="93">
        <v>-12.301194190979004</v>
      </c>
      <c r="AZ4" s="93">
        <v>-12.36408519744873</v>
      </c>
      <c r="BA4" s="93">
        <v>-12.418471336364746</v>
      </c>
      <c r="BB4" s="93">
        <v>-12.472857475280762</v>
      </c>
      <c r="BC4" s="93">
        <v>-12.527242660522461</v>
      </c>
      <c r="BD4" s="93">
        <v>-12.581628799438477</v>
      </c>
      <c r="BE4" s="93">
        <v>-12.636014938354492</v>
      </c>
      <c r="BF4" s="93">
        <v>-12.684925079345703</v>
      </c>
      <c r="BG4" s="93">
        <v>-12.731940269470215</v>
      </c>
      <c r="BH4" s="93">
        <v>-12.778955459594727</v>
      </c>
      <c r="BI4" s="93">
        <v>-12.825969696044922</v>
      </c>
      <c r="BJ4" s="93">
        <v>-12.872984886169434</v>
      </c>
      <c r="BK4" s="94">
        <v>-12.920000076293945</v>
      </c>
    </row>
    <row r="5" spans="1:63" x14ac:dyDescent="0.35">
      <c r="A5" s="105"/>
      <c r="B5" s="92" t="s">
        <v>71</v>
      </c>
      <c r="C5" s="93">
        <v>1.7997987270355225</v>
      </c>
      <c r="D5" s="93">
        <v>2.2197518348693848</v>
      </c>
      <c r="E5" s="93">
        <v>2.6397049427032471</v>
      </c>
      <c r="F5" s="93">
        <v>3.0596578121185303</v>
      </c>
      <c r="G5" s="93">
        <v>3.4796109199523926</v>
      </c>
      <c r="H5" s="93">
        <v>3.8995640277862549</v>
      </c>
      <c r="I5" s="93">
        <v>4.3195171356201172</v>
      </c>
      <c r="J5" s="93">
        <v>4.7394700050354004</v>
      </c>
      <c r="K5" s="93">
        <v>5.1594228744506836</v>
      </c>
      <c r="L5" s="93">
        <v>4.9577217102050781</v>
      </c>
      <c r="M5" s="93">
        <v>4.1484131813049316</v>
      </c>
      <c r="N5" s="93">
        <v>3.3391053676605225</v>
      </c>
      <c r="O5" s="93">
        <v>2.5297966003417969</v>
      </c>
      <c r="P5" s="93">
        <v>1.7204878330230713</v>
      </c>
      <c r="Q5" s="93">
        <v>0.91118013858795166</v>
      </c>
      <c r="R5" s="93">
        <v>0.3026929497718811</v>
      </c>
      <c r="S5" s="93">
        <v>-0.22795909643173218</v>
      </c>
      <c r="T5" s="93">
        <v>-0.71716231107711792</v>
      </c>
      <c r="U5" s="93">
        <v>-1.1574499607086182</v>
      </c>
      <c r="V5" s="93">
        <v>-1.5686105489730835</v>
      </c>
      <c r="W5" s="93">
        <v>-1.9477295875549316</v>
      </c>
      <c r="X5" s="93">
        <v>-2.229790210723877</v>
      </c>
      <c r="Y5" s="93">
        <v>-2.5118510723114014</v>
      </c>
      <c r="Z5" s="93">
        <v>-2.793912410736084</v>
      </c>
      <c r="AA5" s="93">
        <v>-3.0759732723236084</v>
      </c>
      <c r="AB5" s="93">
        <v>-3.3580338954925537</v>
      </c>
      <c r="AC5" s="93">
        <v>-3.6187207698822021</v>
      </c>
      <c r="AD5" s="93">
        <v>-3.8373832702636719</v>
      </c>
      <c r="AE5" s="93">
        <v>-4.0445823669433594</v>
      </c>
      <c r="AF5" s="93">
        <v>-4.2426037788391113</v>
      </c>
      <c r="AG5" s="93">
        <v>-4.4310684204101563</v>
      </c>
      <c r="AH5" s="93">
        <v>-4.602226734161377</v>
      </c>
      <c r="AI5" s="93">
        <v>-4.7326774597167969</v>
      </c>
      <c r="AJ5" s="93">
        <v>-4.8377208709716797</v>
      </c>
      <c r="AK5" s="93">
        <v>-4.9427642822265625</v>
      </c>
      <c r="AL5" s="93">
        <v>-5.0478081703186035</v>
      </c>
      <c r="AM5" s="93">
        <v>-5.1528520584106445</v>
      </c>
      <c r="AN5" s="93">
        <v>-5.2578954696655273</v>
      </c>
      <c r="AO5" s="93">
        <v>-5.3164811134338379</v>
      </c>
      <c r="AP5" s="93">
        <v>-5.3667278289794922</v>
      </c>
      <c r="AQ5" s="93">
        <v>-5.413818359375</v>
      </c>
      <c r="AR5" s="93">
        <v>-5.4710907936096191</v>
      </c>
      <c r="AS5" s="93">
        <v>-5.5338788032531738</v>
      </c>
      <c r="AT5" s="93">
        <v>-5.6030049324035645</v>
      </c>
      <c r="AU5" s="93">
        <v>-5.6838006973266602</v>
      </c>
      <c r="AV5" s="93">
        <v>-5.7645969390869141</v>
      </c>
      <c r="AW5" s="93">
        <v>-5.845393180847168</v>
      </c>
      <c r="AX5" s="93">
        <v>-5.9261889457702637</v>
      </c>
      <c r="AY5" s="93">
        <v>-6.0069851875305176</v>
      </c>
      <c r="AZ5" s="93">
        <v>-6.0910801887512207</v>
      </c>
      <c r="BA5" s="93">
        <v>-6.1793255805969238</v>
      </c>
      <c r="BB5" s="93">
        <v>-6.2675714492797852</v>
      </c>
      <c r="BC5" s="93">
        <v>-6.3558173179626465</v>
      </c>
      <c r="BD5" s="93">
        <v>-6.4440622329711914</v>
      </c>
      <c r="BE5" s="93">
        <v>-6.5323081016540527</v>
      </c>
      <c r="BF5" s="93">
        <v>-6.616572380065918</v>
      </c>
      <c r="BG5" s="93">
        <v>-6.6994576454162598</v>
      </c>
      <c r="BH5" s="93">
        <v>-6.7823433876037598</v>
      </c>
      <c r="BI5" s="93">
        <v>-6.8652291297912598</v>
      </c>
      <c r="BJ5" s="93">
        <v>-6.9481143951416016</v>
      </c>
      <c r="BK5" s="94">
        <v>-7.0310001373291016</v>
      </c>
    </row>
    <row r="6" spans="1:63" ht="21.75" thickBot="1" x14ac:dyDescent="0.4">
      <c r="A6" s="106"/>
      <c r="B6" s="95" t="s">
        <v>72</v>
      </c>
      <c r="C6" s="96">
        <v>-1.6177061796188354</v>
      </c>
      <c r="D6" s="96">
        <v>-1.9951709508895874</v>
      </c>
      <c r="E6" s="96">
        <v>-2.3726358413696289</v>
      </c>
      <c r="F6" s="96">
        <v>-2.7501003742218018</v>
      </c>
      <c r="G6" s="96">
        <v>-3.1275651454925537</v>
      </c>
      <c r="H6" s="96">
        <v>-3.5050299167633057</v>
      </c>
      <c r="I6" s="96">
        <v>-3.8824946880340576</v>
      </c>
      <c r="J6" s="96">
        <v>-4.2599596977233887</v>
      </c>
      <c r="K6" s="96">
        <v>-4.6374239921569824</v>
      </c>
      <c r="L6" s="96">
        <v>-4.8921480178833008</v>
      </c>
      <c r="M6" s="96">
        <v>-5.0269045829772949</v>
      </c>
      <c r="N6" s="96">
        <v>-5.1616611480712891</v>
      </c>
      <c r="O6" s="96">
        <v>-5.2964177131652832</v>
      </c>
      <c r="P6" s="96">
        <v>-5.4311742782592773</v>
      </c>
      <c r="Q6" s="96">
        <v>-5.5659308433532715</v>
      </c>
      <c r="R6" s="96">
        <v>-5.7007455825805664</v>
      </c>
      <c r="S6" s="96">
        <v>-5.8340969085693359</v>
      </c>
      <c r="T6" s="96">
        <v>-5.9647355079650879</v>
      </c>
      <c r="U6" s="96">
        <v>-6.0912165641784668</v>
      </c>
      <c r="V6" s="96">
        <v>-6.214047908782959</v>
      </c>
      <c r="W6" s="96">
        <v>-6.3321042060852051</v>
      </c>
      <c r="X6" s="96">
        <v>-6.4292097091674805</v>
      </c>
      <c r="Y6" s="96">
        <v>-6.5263152122497559</v>
      </c>
      <c r="Z6" s="96">
        <v>-6.6234211921691895</v>
      </c>
      <c r="AA6" s="96">
        <v>-6.720527172088623</v>
      </c>
      <c r="AB6" s="96">
        <v>-6.8176326751708984</v>
      </c>
      <c r="AC6" s="96">
        <v>-6.9112057685852051</v>
      </c>
      <c r="AD6" s="96">
        <v>-6.9978322982788086</v>
      </c>
      <c r="AE6" s="96">
        <v>-7.0859637260437012</v>
      </c>
      <c r="AF6" s="96">
        <v>-7.1751289367675781</v>
      </c>
      <c r="AG6" s="96">
        <v>-7.2653803825378418</v>
      </c>
      <c r="AH6" s="96">
        <v>-7.3582944869995117</v>
      </c>
      <c r="AI6" s="96">
        <v>-7.4636273384094238</v>
      </c>
      <c r="AJ6" s="96">
        <v>-7.5767111778259277</v>
      </c>
      <c r="AK6" s="96">
        <v>-7.6897945404052734</v>
      </c>
      <c r="AL6" s="96">
        <v>-7.8028783798217773</v>
      </c>
      <c r="AM6" s="96">
        <v>-7.9159622192382813</v>
      </c>
      <c r="AN6" s="96">
        <v>-8.0290460586547852</v>
      </c>
      <c r="AO6" s="96">
        <v>-8.1728229522705078</v>
      </c>
      <c r="AP6" s="96">
        <v>-8.3254909515380859</v>
      </c>
      <c r="AQ6" s="96">
        <v>-8.4844856262207031</v>
      </c>
      <c r="AR6" s="96">
        <v>-8.6584234237670898</v>
      </c>
      <c r="AS6" s="96">
        <v>-8.8357572555541992</v>
      </c>
      <c r="AT6" s="96">
        <v>-9.0138864517211914</v>
      </c>
      <c r="AU6" s="96">
        <v>-9.185577392578125</v>
      </c>
      <c r="AV6" s="96">
        <v>-9.357269287109375</v>
      </c>
      <c r="AW6" s="96">
        <v>-9.528961181640625</v>
      </c>
      <c r="AX6" s="96">
        <v>-9.7006521224975586</v>
      </c>
      <c r="AY6" s="96">
        <v>-9.8723440170288086</v>
      </c>
      <c r="AZ6" s="96">
        <v>-10.03497314453125</v>
      </c>
      <c r="BA6" s="96">
        <v>-10.186200141906738</v>
      </c>
      <c r="BB6" s="96">
        <v>-10.337429046630859</v>
      </c>
      <c r="BC6" s="96">
        <v>-10.488656997680664</v>
      </c>
      <c r="BD6" s="96">
        <v>-10.639884948730469</v>
      </c>
      <c r="BE6" s="96">
        <v>-10.791112899780273</v>
      </c>
      <c r="BF6" s="96">
        <v>-10.92442798614502</v>
      </c>
      <c r="BG6" s="96">
        <v>-11.051542282104492</v>
      </c>
      <c r="BH6" s="96">
        <v>-11.178656578063965</v>
      </c>
      <c r="BI6" s="96">
        <v>-11.305771827697754</v>
      </c>
      <c r="BJ6" s="96">
        <v>-11.432886123657227</v>
      </c>
      <c r="BK6" s="97">
        <v>-11.560000419616699</v>
      </c>
    </row>
    <row r="7" spans="1:63" x14ac:dyDescent="0.35">
      <c r="A7" s="105" t="s">
        <v>276</v>
      </c>
      <c r="B7" s="89" t="s">
        <v>69</v>
      </c>
      <c r="C7" s="90">
        <v>-6.3782696723937988</v>
      </c>
      <c r="D7" s="90">
        <v>-7.8665323257446289</v>
      </c>
      <c r="E7" s="90">
        <v>-9.3547954559326172</v>
      </c>
      <c r="F7" s="90">
        <v>-10.843058586120605</v>
      </c>
      <c r="G7" s="90">
        <v>-12.331320762634277</v>
      </c>
      <c r="H7" s="90">
        <v>-13.819583892822266</v>
      </c>
      <c r="I7" s="90">
        <v>-15.307847023010254</v>
      </c>
      <c r="J7" s="90">
        <v>-16.796110153198242</v>
      </c>
      <c r="K7" s="90">
        <v>-18.284372329711914</v>
      </c>
      <c r="L7" s="90">
        <v>-19.023544311523438</v>
      </c>
      <c r="M7" s="90">
        <v>-19.031646728515625</v>
      </c>
      <c r="N7" s="90">
        <v>-19.052604675292969</v>
      </c>
      <c r="O7" s="90">
        <v>-19.082605361938477</v>
      </c>
      <c r="P7" s="90">
        <v>-19.119043350219727</v>
      </c>
      <c r="Q7" s="90">
        <v>-19.160957336425781</v>
      </c>
      <c r="R7" s="90">
        <v>-19.202873229980469</v>
      </c>
      <c r="S7" s="90">
        <v>-19.247255325317383</v>
      </c>
      <c r="T7" s="90">
        <v>-19.296157836914063</v>
      </c>
      <c r="U7" s="90">
        <v>-19.151500701904297</v>
      </c>
      <c r="V7" s="90">
        <v>-19.056188583374023</v>
      </c>
      <c r="W7" s="90">
        <v>-19.033075332641602</v>
      </c>
      <c r="X7" s="90">
        <v>-19.081975936889648</v>
      </c>
      <c r="Y7" s="90">
        <v>-19.130878448486328</v>
      </c>
      <c r="Z7" s="90">
        <v>-19.179780960083008</v>
      </c>
      <c r="AA7" s="90">
        <v>-19.228681564331055</v>
      </c>
      <c r="AB7" s="90">
        <v>-19.277584075927734</v>
      </c>
      <c r="AC7" s="90">
        <v>-19.325321197509766</v>
      </c>
      <c r="AD7" s="90">
        <v>-19.370763778686523</v>
      </c>
      <c r="AE7" s="90">
        <v>-19.416206359863281</v>
      </c>
      <c r="AF7" s="90">
        <v>-19.461650848388672</v>
      </c>
      <c r="AG7" s="90">
        <v>-19.50709342956543</v>
      </c>
      <c r="AH7" s="90">
        <v>-19.552536010742188</v>
      </c>
      <c r="AI7" s="90">
        <v>-19.596902847290039</v>
      </c>
      <c r="AJ7" s="90">
        <v>-19.640598297119141</v>
      </c>
      <c r="AK7" s="90">
        <v>-19.684293746948242</v>
      </c>
      <c r="AL7" s="90">
        <v>-19.727989196777344</v>
      </c>
      <c r="AM7" s="90">
        <v>-19.771684646606445</v>
      </c>
      <c r="AN7" s="90">
        <v>-19.815380096435547</v>
      </c>
      <c r="AO7" s="90">
        <v>-19.857484817504883</v>
      </c>
      <c r="AP7" s="90">
        <v>-19.899171829223633</v>
      </c>
      <c r="AQ7" s="90">
        <v>-19.940607070922852</v>
      </c>
      <c r="AR7" s="90">
        <v>-19.983030319213867</v>
      </c>
      <c r="AS7" s="90">
        <v>-20.021211624145508</v>
      </c>
      <c r="AT7" s="90">
        <v>-20.056791305541992</v>
      </c>
      <c r="AU7" s="90">
        <v>-20.093357086181641</v>
      </c>
      <c r="AV7" s="90">
        <v>-20.129924774169922</v>
      </c>
      <c r="AW7" s="90">
        <v>-20.166492462158203</v>
      </c>
      <c r="AX7" s="90">
        <v>-20.203060150146484</v>
      </c>
      <c r="AY7" s="90">
        <v>-20.239627838134766</v>
      </c>
      <c r="AZ7" s="90">
        <v>-20.275539398193359</v>
      </c>
      <c r="BA7" s="90">
        <v>-20.310626983642578</v>
      </c>
      <c r="BB7" s="90">
        <v>-20.345714569091797</v>
      </c>
      <c r="BC7" s="90">
        <v>-20.380802154541016</v>
      </c>
      <c r="BD7" s="90">
        <v>-20.415889739990234</v>
      </c>
      <c r="BE7" s="90">
        <v>-20.450977325439453</v>
      </c>
      <c r="BF7" s="90">
        <v>-20.485490798950195</v>
      </c>
      <c r="BG7" s="90">
        <v>-20.520101547241211</v>
      </c>
      <c r="BH7" s="90">
        <v>-20.555454254150391</v>
      </c>
      <c r="BI7" s="90">
        <v>-20.583921432495117</v>
      </c>
      <c r="BJ7" s="90">
        <v>-20.614646911621094</v>
      </c>
      <c r="BK7" s="91">
        <v>-20.649999618530273</v>
      </c>
    </row>
    <row r="8" spans="1:63" x14ac:dyDescent="0.35">
      <c r="A8" s="105"/>
      <c r="B8" s="92" t="s">
        <v>70</v>
      </c>
      <c r="C8" s="93">
        <v>-20.452716827392578</v>
      </c>
      <c r="D8" s="93">
        <v>-25.225017547607422</v>
      </c>
      <c r="E8" s="93">
        <v>-29.997318267822266</v>
      </c>
      <c r="F8" s="93">
        <v>-34.769618988037109</v>
      </c>
      <c r="G8" s="93">
        <v>-39.541915893554688</v>
      </c>
      <c r="H8" s="93">
        <v>-44.314220428466797</v>
      </c>
      <c r="I8" s="93">
        <v>-49.086517333984375</v>
      </c>
      <c r="J8" s="93">
        <v>-53.858821868896484</v>
      </c>
      <c r="K8" s="93">
        <v>-58.631118774414063</v>
      </c>
      <c r="L8" s="93">
        <v>-59.005619049072266</v>
      </c>
      <c r="M8" s="93">
        <v>-55.034858703613281</v>
      </c>
      <c r="N8" s="93">
        <v>-50.514900207519531</v>
      </c>
      <c r="O8" s="93">
        <v>-46.089878082275391</v>
      </c>
      <c r="P8" s="93">
        <v>-41.849239349365234</v>
      </c>
      <c r="Q8" s="93">
        <v>-38.09075927734375</v>
      </c>
      <c r="R8" s="93">
        <v>-34.715808868408203</v>
      </c>
      <c r="S8" s="93">
        <v>-31.584388732910156</v>
      </c>
      <c r="T8" s="93">
        <v>-28.706148147583008</v>
      </c>
      <c r="U8" s="93">
        <v>-26.497867584228516</v>
      </c>
      <c r="V8" s="93">
        <v>-25.865806579589844</v>
      </c>
      <c r="W8" s="93">
        <v>-26.785438537597656</v>
      </c>
      <c r="X8" s="93">
        <v>-27.667425155639648</v>
      </c>
      <c r="Y8" s="93">
        <v>-28.549409866333008</v>
      </c>
      <c r="Z8" s="93">
        <v>-29.431398391723633</v>
      </c>
      <c r="AA8" s="93">
        <v>-30.313383102416992</v>
      </c>
      <c r="AB8" s="93">
        <v>-31.195369720458984</v>
      </c>
      <c r="AC8" s="93">
        <v>-32.045169830322266</v>
      </c>
      <c r="AD8" s="93">
        <v>-32.831687927246094</v>
      </c>
      <c r="AE8" s="93">
        <v>-33.618202209472656</v>
      </c>
      <c r="AF8" s="93">
        <v>-34.404720306396484</v>
      </c>
      <c r="AG8" s="93">
        <v>-35.191234588623047</v>
      </c>
      <c r="AH8" s="93">
        <v>-35.977752685546875</v>
      </c>
      <c r="AI8" s="93">
        <v>-36.685710906982422</v>
      </c>
      <c r="AJ8" s="93">
        <v>-37.344635009765625</v>
      </c>
      <c r="AK8" s="93">
        <v>-38.003562927246094</v>
      </c>
      <c r="AL8" s="93">
        <v>-38.662490844726563</v>
      </c>
      <c r="AM8" s="93">
        <v>-39.321414947509766</v>
      </c>
      <c r="AN8" s="93">
        <v>-39.980342864990234</v>
      </c>
      <c r="AO8" s="93">
        <v>-40.556049346923828</v>
      </c>
      <c r="AP8" s="93">
        <v>-41.099643707275391</v>
      </c>
      <c r="AQ8" s="93">
        <v>-41.617073059082031</v>
      </c>
      <c r="AR8" s="93">
        <v>-42.112022399902344</v>
      </c>
      <c r="AS8" s="93">
        <v>-42.577274322509766</v>
      </c>
      <c r="AT8" s="93">
        <v>-43.002090454101563</v>
      </c>
      <c r="AU8" s="93">
        <v>-43.336418151855469</v>
      </c>
      <c r="AV8" s="93">
        <v>-43.670745849609375</v>
      </c>
      <c r="AW8" s="93">
        <v>-44.005073547363281</v>
      </c>
      <c r="AX8" s="93">
        <v>-44.339401245117188</v>
      </c>
      <c r="AY8" s="93">
        <v>-44.673732757568359</v>
      </c>
      <c r="AZ8" s="93">
        <v>-44.92681884765625</v>
      </c>
      <c r="BA8" s="93">
        <v>-45.077693939208984</v>
      </c>
      <c r="BB8" s="93">
        <v>-45.228572845458984</v>
      </c>
      <c r="BC8" s="93">
        <v>-45.379451751708984</v>
      </c>
      <c r="BD8" s="93">
        <v>-45.530326843261719</v>
      </c>
      <c r="BE8" s="93">
        <v>-45.681205749511719</v>
      </c>
      <c r="BF8" s="93">
        <v>-45.740390777587891</v>
      </c>
      <c r="BG8" s="93">
        <v>-45.755958557128906</v>
      </c>
      <c r="BH8" s="93">
        <v>-45.7418212890625</v>
      </c>
      <c r="BI8" s="93">
        <v>-45.680194854736328</v>
      </c>
      <c r="BJ8" s="93">
        <v>-45.590202331542969</v>
      </c>
      <c r="BK8" s="94">
        <v>-45.470001220703125</v>
      </c>
    </row>
    <row r="9" spans="1:63" x14ac:dyDescent="0.35">
      <c r="A9" s="105"/>
      <c r="B9" s="92" t="s">
        <v>71</v>
      </c>
      <c r="C9" s="93">
        <v>-5.1475520133972168</v>
      </c>
      <c r="D9" s="93">
        <v>-6.3486475944519043</v>
      </c>
      <c r="E9" s="93">
        <v>-7.5497431755065918</v>
      </c>
      <c r="F9" s="93">
        <v>-8.7508382797241211</v>
      </c>
      <c r="G9" s="93">
        <v>-9.9519338607788086</v>
      </c>
      <c r="H9" s="93">
        <v>-11.153029441833496</v>
      </c>
      <c r="I9" s="93">
        <v>-12.354125022888184</v>
      </c>
      <c r="J9" s="93">
        <v>-13.555220603942871</v>
      </c>
      <c r="K9" s="93">
        <v>-14.756315231323242</v>
      </c>
      <c r="L9" s="93">
        <v>-14.999189376831055</v>
      </c>
      <c r="M9" s="93">
        <v>-14.246925354003906</v>
      </c>
      <c r="N9" s="93">
        <v>-12.807805061340332</v>
      </c>
      <c r="O9" s="93">
        <v>-11.264699935913086</v>
      </c>
      <c r="P9" s="93">
        <v>-9.7102594375610352</v>
      </c>
      <c r="Q9" s="93">
        <v>-8.3207406997680664</v>
      </c>
      <c r="R9" s="93">
        <v>-7.0670995712280273</v>
      </c>
      <c r="S9" s="93">
        <v>-5.8993930816650391</v>
      </c>
      <c r="T9" s="93">
        <v>-4.8207511901855469</v>
      </c>
      <c r="U9" s="93">
        <v>-4.3518404960632324</v>
      </c>
      <c r="V9" s="93">
        <v>-4.1693153381347656</v>
      </c>
      <c r="W9" s="93">
        <v>-4.2266230583190918</v>
      </c>
      <c r="X9" s="93">
        <v>-4.2842574119567871</v>
      </c>
      <c r="Y9" s="93">
        <v>-4.3418922424316406</v>
      </c>
      <c r="Z9" s="93">
        <v>-4.3995270729064941</v>
      </c>
      <c r="AA9" s="93">
        <v>-4.4571619033813477</v>
      </c>
      <c r="AB9" s="93">
        <v>-4.514796257019043</v>
      </c>
      <c r="AC9" s="93">
        <v>-4.5718564987182617</v>
      </c>
      <c r="AD9" s="93">
        <v>-4.6277866363525391</v>
      </c>
      <c r="AE9" s="93">
        <v>-4.6837167739868164</v>
      </c>
      <c r="AF9" s="93">
        <v>-4.7396469116210938</v>
      </c>
      <c r="AG9" s="93">
        <v>-4.7955770492553711</v>
      </c>
      <c r="AH9" s="93">
        <v>-4.8515071868896484</v>
      </c>
      <c r="AI9" s="93">
        <v>-4.9054999351501465</v>
      </c>
      <c r="AJ9" s="93">
        <v>-4.9582839012145996</v>
      </c>
      <c r="AK9" s="93">
        <v>-5.0110678672790527</v>
      </c>
      <c r="AL9" s="93">
        <v>-5.0638523101806641</v>
      </c>
      <c r="AM9" s="93">
        <v>-5.1166362762451172</v>
      </c>
      <c r="AN9" s="93">
        <v>-5.1694202423095703</v>
      </c>
      <c r="AO9" s="93">
        <v>-5.2199821472167969</v>
      </c>
      <c r="AP9" s="93">
        <v>-5.2696866989135742</v>
      </c>
      <c r="AQ9" s="93">
        <v>-5.3187170028686523</v>
      </c>
      <c r="AR9" s="93">
        <v>-5.3689188957214355</v>
      </c>
      <c r="AS9" s="93">
        <v>-5.4182729721069336</v>
      </c>
      <c r="AT9" s="93">
        <v>-5.4686393737792969</v>
      </c>
      <c r="AU9" s="93">
        <v>-5.5259280204772949</v>
      </c>
      <c r="AV9" s="93">
        <v>-5.583216667175293</v>
      </c>
      <c r="AW9" s="93">
        <v>-5.640505313873291</v>
      </c>
      <c r="AX9" s="93">
        <v>-5.6977934837341309</v>
      </c>
      <c r="AY9" s="93">
        <v>-5.7550821304321289</v>
      </c>
      <c r="AZ9" s="93">
        <v>-5.8336944580078125</v>
      </c>
      <c r="BA9" s="93">
        <v>-5.9391326904296875</v>
      </c>
      <c r="BB9" s="93">
        <v>-6.0445713996887207</v>
      </c>
      <c r="BC9" s="93">
        <v>-6.1500101089477539</v>
      </c>
      <c r="BD9" s="93">
        <v>-6.2554483413696289</v>
      </c>
      <c r="BE9" s="93">
        <v>-6.3608870506286621</v>
      </c>
      <c r="BF9" s="93">
        <v>-6.4578433036804199</v>
      </c>
      <c r="BG9" s="93">
        <v>-6.5518684387207031</v>
      </c>
      <c r="BH9" s="93">
        <v>-6.645909309387207</v>
      </c>
      <c r="BI9" s="93">
        <v>-6.7351474761962891</v>
      </c>
      <c r="BJ9" s="93">
        <v>-6.8233232498168945</v>
      </c>
      <c r="BK9" s="94">
        <v>-6.9109997749328613</v>
      </c>
    </row>
    <row r="10" spans="1:63" ht="21.75" thickBot="1" x14ac:dyDescent="0.4">
      <c r="A10" s="105"/>
      <c r="B10" s="95" t="s">
        <v>72</v>
      </c>
      <c r="C10" s="96">
        <v>-7.3407106399536133</v>
      </c>
      <c r="D10" s="96">
        <v>-9.0535430908203125</v>
      </c>
      <c r="E10" s="96">
        <v>-10.766375541687012</v>
      </c>
      <c r="F10" s="96">
        <v>-12.479207992553711</v>
      </c>
      <c r="G10" s="96">
        <v>-14.192039489746094</v>
      </c>
      <c r="H10" s="96">
        <v>-15.904872894287109</v>
      </c>
      <c r="I10" s="96">
        <v>-17.617704391479492</v>
      </c>
      <c r="J10" s="96">
        <v>-19.330537796020508</v>
      </c>
      <c r="K10" s="96">
        <v>-21.043369293212891</v>
      </c>
      <c r="L10" s="96">
        <v>-21.259248733520508</v>
      </c>
      <c r="M10" s="96">
        <v>-20.102315902709961</v>
      </c>
      <c r="N10" s="96">
        <v>-20.004510879516602</v>
      </c>
      <c r="O10" s="96">
        <v>-20.196046829223633</v>
      </c>
      <c r="P10" s="96">
        <v>-20.546855926513672</v>
      </c>
      <c r="Q10" s="96">
        <v>-20.903142929077148</v>
      </c>
      <c r="R10" s="96">
        <v>-21.259429931640625</v>
      </c>
      <c r="S10" s="96">
        <v>-21.618183135986328</v>
      </c>
      <c r="T10" s="96">
        <v>-21.981456756591797</v>
      </c>
      <c r="U10" s="96">
        <v>-22.332822799682617</v>
      </c>
      <c r="V10" s="96">
        <v>-22.686107635498047</v>
      </c>
      <c r="W10" s="96">
        <v>-23.041297912597656</v>
      </c>
      <c r="X10" s="96">
        <v>-23.380119323730469</v>
      </c>
      <c r="Y10" s="96">
        <v>-23.718942642211914</v>
      </c>
      <c r="Z10" s="96">
        <v>-24.057764053344727</v>
      </c>
      <c r="AA10" s="96">
        <v>-24.396585464477539</v>
      </c>
      <c r="AB10" s="96">
        <v>-24.735408782958984</v>
      </c>
      <c r="AC10" s="96">
        <v>-25.066656112670898</v>
      </c>
      <c r="AD10" s="96">
        <v>-25.383010864257813</v>
      </c>
      <c r="AE10" s="96">
        <v>-25.699365615844727</v>
      </c>
      <c r="AF10" s="96">
        <v>-26.015720367431641</v>
      </c>
      <c r="AG10" s="96">
        <v>-26.332075119018555</v>
      </c>
      <c r="AH10" s="96">
        <v>-26.648429870605469</v>
      </c>
      <c r="AI10" s="96">
        <v>-26.955099105834961</v>
      </c>
      <c r="AJ10" s="96">
        <v>-27.25572395324707</v>
      </c>
      <c r="AK10" s="96">
        <v>-27.556346893310547</v>
      </c>
      <c r="AL10" s="96">
        <v>-27.856971740722656</v>
      </c>
      <c r="AM10" s="96">
        <v>-28.157594680786133</v>
      </c>
      <c r="AN10" s="96">
        <v>-28.458219528198242</v>
      </c>
      <c r="AO10" s="96">
        <v>-28.746147155761719</v>
      </c>
      <c r="AP10" s="96">
        <v>-29.031005859375</v>
      </c>
      <c r="AQ10" s="96">
        <v>-29.314142227172852</v>
      </c>
      <c r="AR10" s="96">
        <v>-29.604040145874023</v>
      </c>
      <c r="AS10" s="96">
        <v>-29.88969612121582</v>
      </c>
      <c r="AT10" s="96">
        <v>-30.170772552490234</v>
      </c>
      <c r="AU10" s="96">
        <v>-30.444154739379883</v>
      </c>
      <c r="AV10" s="96">
        <v>-30.717538833618164</v>
      </c>
      <c r="AW10" s="96">
        <v>-30.990921020507813</v>
      </c>
      <c r="AX10" s="96">
        <v>-31.264303207397461</v>
      </c>
      <c r="AY10" s="96">
        <v>-31.537687301635742</v>
      </c>
      <c r="AZ10" s="96">
        <v>-31.808874130249023</v>
      </c>
      <c r="BA10" s="96">
        <v>-32.077293395996094</v>
      </c>
      <c r="BB10" s="96">
        <v>-32.345714569091797</v>
      </c>
      <c r="BC10" s="96">
        <v>-32.6141357421875</v>
      </c>
      <c r="BD10" s="96">
        <v>-32.882556915283203</v>
      </c>
      <c r="BE10" s="96">
        <v>-33.150978088378906</v>
      </c>
      <c r="BF10" s="96">
        <v>-33.40863037109375</v>
      </c>
      <c r="BG10" s="96">
        <v>-33.666767120361328</v>
      </c>
      <c r="BH10" s="96">
        <v>-33.935455322265625</v>
      </c>
      <c r="BI10" s="96">
        <v>-34.191276550292969</v>
      </c>
      <c r="BJ10" s="96">
        <v>-34.448383331298828</v>
      </c>
      <c r="BK10" s="97">
        <v>-34.709999084472656</v>
      </c>
    </row>
    <row r="11" spans="1:63" x14ac:dyDescent="0.35">
      <c r="A11" s="104" t="s">
        <v>277</v>
      </c>
      <c r="B11" s="89" t="s">
        <v>69</v>
      </c>
      <c r="C11" s="90">
        <v>-6.3313207626342773</v>
      </c>
      <c r="D11" s="90">
        <v>-7.808629035949707</v>
      </c>
      <c r="E11" s="90">
        <v>-9.2859373092651367</v>
      </c>
      <c r="F11" s="90">
        <v>-10.763245582580566</v>
      </c>
      <c r="G11" s="90">
        <v>-12.24055290222168</v>
      </c>
      <c r="H11" s="90">
        <v>-13.717862129211426</v>
      </c>
      <c r="I11" s="90">
        <v>-15.195169448852539</v>
      </c>
      <c r="J11" s="90">
        <v>-16.672477722167969</v>
      </c>
      <c r="K11" s="90">
        <v>-18.149785995483398</v>
      </c>
      <c r="L11" s="90">
        <v>-18.876455307006836</v>
      </c>
      <c r="M11" s="90">
        <v>-18.871646881103516</v>
      </c>
      <c r="N11" s="90">
        <v>-18.892604827880859</v>
      </c>
      <c r="O11" s="90">
        <v>-18.918083190917969</v>
      </c>
      <c r="P11" s="90">
        <v>-18.947534561157227</v>
      </c>
      <c r="Q11" s="90">
        <v>-18.982465744018555</v>
      </c>
      <c r="R11" s="90">
        <v>-19.01739501953125</v>
      </c>
      <c r="S11" s="90">
        <v>-19.047395706176758</v>
      </c>
      <c r="T11" s="90">
        <v>-19.068353652954102</v>
      </c>
      <c r="U11" s="90">
        <v>-18.998977661132813</v>
      </c>
      <c r="V11" s="90">
        <v>-18.984170913696289</v>
      </c>
      <c r="W11" s="90">
        <v>-19.033075332641602</v>
      </c>
      <c r="X11" s="90">
        <v>-19.081975936889648</v>
      </c>
      <c r="Y11" s="90">
        <v>-19.130878448486328</v>
      </c>
      <c r="Z11" s="90">
        <v>-19.179780960083008</v>
      </c>
      <c r="AA11" s="90">
        <v>-19.228681564331055</v>
      </c>
      <c r="AB11" s="90">
        <v>-19.277584075927734</v>
      </c>
      <c r="AC11" s="90">
        <v>-19.325321197509766</v>
      </c>
      <c r="AD11" s="90">
        <v>-19.370763778686523</v>
      </c>
      <c r="AE11" s="90">
        <v>-19.416206359863281</v>
      </c>
      <c r="AF11" s="90">
        <v>-19.461650848388672</v>
      </c>
      <c r="AG11" s="90">
        <v>-19.50709342956543</v>
      </c>
      <c r="AH11" s="90">
        <v>-19.552536010742188</v>
      </c>
      <c r="AI11" s="90">
        <v>-19.596902847290039</v>
      </c>
      <c r="AJ11" s="90">
        <v>-19.640598297119141</v>
      </c>
      <c r="AK11" s="90">
        <v>-19.684293746948242</v>
      </c>
      <c r="AL11" s="90">
        <v>-19.727989196777344</v>
      </c>
      <c r="AM11" s="90">
        <v>-19.771684646606445</v>
      </c>
      <c r="AN11" s="90">
        <v>-19.815380096435547</v>
      </c>
      <c r="AO11" s="90">
        <v>-19.85603141784668</v>
      </c>
      <c r="AP11" s="90">
        <v>-19.896320343017578</v>
      </c>
      <c r="AQ11" s="90">
        <v>-19.936611175537109</v>
      </c>
      <c r="AR11" s="90">
        <v>-19.976902008056641</v>
      </c>
      <c r="AS11" s="90">
        <v>-20.017190933227539</v>
      </c>
      <c r="AT11" s="90">
        <v>-20.057645797729492</v>
      </c>
      <c r="AU11" s="90">
        <v>-20.098823547363281</v>
      </c>
      <c r="AV11" s="90">
        <v>-20.135757446289063</v>
      </c>
      <c r="AW11" s="90">
        <v>-20.170783996582031</v>
      </c>
      <c r="AX11" s="90">
        <v>-20.205097198486328</v>
      </c>
      <c r="AY11" s="90">
        <v>-20.240303039550781</v>
      </c>
      <c r="AZ11" s="90">
        <v>-20.275539398193359</v>
      </c>
      <c r="BA11" s="90">
        <v>-20.310626983642578</v>
      </c>
      <c r="BB11" s="90">
        <v>-20.345714569091797</v>
      </c>
      <c r="BC11" s="90">
        <v>-20.380802154541016</v>
      </c>
      <c r="BD11" s="90">
        <v>-20.415889739990234</v>
      </c>
      <c r="BE11" s="90">
        <v>-20.450977325439453</v>
      </c>
      <c r="BF11" s="90">
        <v>-20.484577178955078</v>
      </c>
      <c r="BG11" s="90">
        <v>-20.517660140991211</v>
      </c>
      <c r="BH11" s="90">
        <v>-20.550745010375977</v>
      </c>
      <c r="BI11" s="90">
        <v>-20.583829879760742</v>
      </c>
      <c r="BJ11" s="90">
        <v>-20.616914749145508</v>
      </c>
      <c r="BK11" s="91">
        <v>-20.649999618530273</v>
      </c>
    </row>
    <row r="12" spans="1:63" x14ac:dyDescent="0.35">
      <c r="A12" s="105"/>
      <c r="B12" s="92" t="s">
        <v>70</v>
      </c>
      <c r="C12" s="93">
        <v>-20.385646820068359</v>
      </c>
      <c r="D12" s="93">
        <v>-25.142297744750977</v>
      </c>
      <c r="E12" s="93">
        <v>-29.898948669433594</v>
      </c>
      <c r="F12" s="93">
        <v>-34.655597686767578</v>
      </c>
      <c r="G12" s="93">
        <v>-39.412250518798828</v>
      </c>
      <c r="H12" s="93">
        <v>-44.168903350830078</v>
      </c>
      <c r="I12" s="93">
        <v>-48.925552368164063</v>
      </c>
      <c r="J12" s="93">
        <v>-53.682205200195313</v>
      </c>
      <c r="K12" s="93">
        <v>-58.438850402832031</v>
      </c>
      <c r="L12" s="93">
        <v>-58.320152282714844</v>
      </c>
      <c r="M12" s="93">
        <v>-53.446193695068359</v>
      </c>
      <c r="N12" s="93">
        <v>-48.688713073730469</v>
      </c>
      <c r="O12" s="93">
        <v>-44.247692108154297</v>
      </c>
      <c r="P12" s="93">
        <v>-40.117874145507813</v>
      </c>
      <c r="Q12" s="93">
        <v>-36.49212646484375</v>
      </c>
      <c r="R12" s="93">
        <v>-33.343055725097656</v>
      </c>
      <c r="S12" s="93">
        <v>-30.470527648925781</v>
      </c>
      <c r="T12" s="93">
        <v>-27.864742279052734</v>
      </c>
      <c r="U12" s="93">
        <v>-27.098289489746094</v>
      </c>
      <c r="V12" s="93">
        <v>-27.245807647705078</v>
      </c>
      <c r="W12" s="93">
        <v>-28.167087554931641</v>
      </c>
      <c r="X12" s="93">
        <v>-29.07526969909668</v>
      </c>
      <c r="Y12" s="93">
        <v>-29.974630355834961</v>
      </c>
      <c r="Z12" s="93">
        <v>-30.864652633666992</v>
      </c>
      <c r="AA12" s="93">
        <v>-31.737903594970703</v>
      </c>
      <c r="AB12" s="93">
        <v>-32.595050811767578</v>
      </c>
      <c r="AC12" s="93">
        <v>-33.425758361816406</v>
      </c>
      <c r="AD12" s="93">
        <v>-34.214023590087891</v>
      </c>
      <c r="AE12" s="93">
        <v>-35.002285003662109</v>
      </c>
      <c r="AF12" s="93">
        <v>-35.790550231933594</v>
      </c>
      <c r="AG12" s="93">
        <v>-36.578815460205078</v>
      </c>
      <c r="AH12" s="93">
        <v>-37.367080688476563</v>
      </c>
      <c r="AI12" s="93">
        <v>-38.074634552001953</v>
      </c>
      <c r="AJ12" s="93">
        <v>-38.7318115234375</v>
      </c>
      <c r="AK12" s="93">
        <v>-39.388988494873047</v>
      </c>
      <c r="AL12" s="93">
        <v>-40.046169281005859</v>
      </c>
      <c r="AM12" s="93">
        <v>-40.703350067138672</v>
      </c>
      <c r="AN12" s="93">
        <v>-41.360527038574219</v>
      </c>
      <c r="AO12" s="93">
        <v>-41.884304046630859</v>
      </c>
      <c r="AP12" s="93">
        <v>-42.392314910888672</v>
      </c>
      <c r="AQ12" s="93">
        <v>-42.900321960449219</v>
      </c>
      <c r="AR12" s="93">
        <v>-43.408329010009766</v>
      </c>
      <c r="AS12" s="93">
        <v>-43.916339874267578</v>
      </c>
      <c r="AT12" s="93">
        <v>-44.40264892578125</v>
      </c>
      <c r="AU12" s="93">
        <v>-44.7938232421875</v>
      </c>
      <c r="AV12" s="93">
        <v>-45.167877197265625</v>
      </c>
      <c r="AW12" s="93">
        <v>-45.514900207519531</v>
      </c>
      <c r="AX12" s="93">
        <v>-45.816864013671875</v>
      </c>
      <c r="AY12" s="93">
        <v>-46.096363067626953</v>
      </c>
      <c r="AZ12" s="93">
        <v>-46.316818237304688</v>
      </c>
      <c r="BA12" s="93">
        <v>-46.467693328857422</v>
      </c>
      <c r="BB12" s="93">
        <v>-46.618572235107422</v>
      </c>
      <c r="BC12" s="93">
        <v>-46.769451141357422</v>
      </c>
      <c r="BD12" s="93">
        <v>-46.920326232910156</v>
      </c>
      <c r="BE12" s="93">
        <v>-47.071205139160156</v>
      </c>
      <c r="BF12" s="93">
        <v>-47.076370239257813</v>
      </c>
      <c r="BG12" s="93">
        <v>-47.031093597412109</v>
      </c>
      <c r="BH12" s="93">
        <v>-46.985820770263672</v>
      </c>
      <c r="BI12" s="93">
        <v>-46.940547943115234</v>
      </c>
      <c r="BJ12" s="93">
        <v>-46.895271301269531</v>
      </c>
      <c r="BK12" s="94">
        <v>-46.849998474121094</v>
      </c>
    </row>
    <row r="13" spans="1:63" x14ac:dyDescent="0.35">
      <c r="A13" s="105"/>
      <c r="B13" s="92" t="s">
        <v>71</v>
      </c>
      <c r="C13" s="93">
        <v>-5.3655261993408203</v>
      </c>
      <c r="D13" s="93">
        <v>-6.6174826622009277</v>
      </c>
      <c r="E13" s="93">
        <v>-7.869438648223877</v>
      </c>
      <c r="F13" s="93">
        <v>-9.1213951110839844</v>
      </c>
      <c r="G13" s="93">
        <v>-10.373350143432617</v>
      </c>
      <c r="H13" s="93">
        <v>-11.625307083129883</v>
      </c>
      <c r="I13" s="93">
        <v>-12.877263069152832</v>
      </c>
      <c r="J13" s="93">
        <v>-14.129220008850098</v>
      </c>
      <c r="K13" s="93">
        <v>-15.38117504119873</v>
      </c>
      <c r="L13" s="93">
        <v>-15.262943267822266</v>
      </c>
      <c r="M13" s="93">
        <v>-13.789361000061035</v>
      </c>
      <c r="N13" s="93">
        <v>-12.126687049865723</v>
      </c>
      <c r="O13" s="93">
        <v>-10.548101425170898</v>
      </c>
      <c r="P13" s="93">
        <v>-9.0846872329711914</v>
      </c>
      <c r="Q13" s="93">
        <v>-7.8733124732971191</v>
      </c>
      <c r="R13" s="93">
        <v>-7.0317697525024414</v>
      </c>
      <c r="S13" s="93">
        <v>-6.4600667953491211</v>
      </c>
      <c r="T13" s="93">
        <v>-6.1966938972473145</v>
      </c>
      <c r="U13" s="93">
        <v>-6.6001896858215332</v>
      </c>
      <c r="V13" s="93">
        <v>-6.8364529609680176</v>
      </c>
      <c r="W13" s="93">
        <v>-6.8456788063049316</v>
      </c>
      <c r="X13" s="93">
        <v>-6.8882932662963867</v>
      </c>
      <c r="Y13" s="93">
        <v>-6.9379658699035645</v>
      </c>
      <c r="Z13" s="93">
        <v>-6.9923171997070313</v>
      </c>
      <c r="AA13" s="93">
        <v>-7.0489039421081543</v>
      </c>
      <c r="AB13" s="93">
        <v>-7.1054911613464355</v>
      </c>
      <c r="AC13" s="93">
        <v>-7.1618566513061523</v>
      </c>
      <c r="AD13" s="93">
        <v>-7.2177867889404297</v>
      </c>
      <c r="AE13" s="93">
        <v>-7.2737164497375488</v>
      </c>
      <c r="AF13" s="93">
        <v>-7.3296465873718262</v>
      </c>
      <c r="AG13" s="93">
        <v>-7.3855767250061035</v>
      </c>
      <c r="AH13" s="93">
        <v>-7.4415068626403809</v>
      </c>
      <c r="AI13" s="93">
        <v>-7.4954996109008789</v>
      </c>
      <c r="AJ13" s="93">
        <v>-7.548283576965332</v>
      </c>
      <c r="AK13" s="93">
        <v>-7.6010675430297852</v>
      </c>
      <c r="AL13" s="93">
        <v>-7.6538519859313965</v>
      </c>
      <c r="AM13" s="93">
        <v>-7.7066359519958496</v>
      </c>
      <c r="AN13" s="93">
        <v>-7.7594199180603027</v>
      </c>
      <c r="AO13" s="93">
        <v>-7.8093338012695313</v>
      </c>
      <c r="AP13" s="93">
        <v>-7.8589086532592773</v>
      </c>
      <c r="AQ13" s="93">
        <v>-7.9084830284118652</v>
      </c>
      <c r="AR13" s="93">
        <v>-7.9580578804016113</v>
      </c>
      <c r="AS13" s="93">
        <v>-8.0076322555541992</v>
      </c>
      <c r="AT13" s="93">
        <v>-8.0566673278808594</v>
      </c>
      <c r="AU13" s="93">
        <v>-8.1033334732055664</v>
      </c>
      <c r="AV13" s="93">
        <v>-8.1500005722045898</v>
      </c>
      <c r="AW13" s="93">
        <v>-8.1962356567382813</v>
      </c>
      <c r="AX13" s="93">
        <v>-8.2415294647216797</v>
      </c>
      <c r="AY13" s="93">
        <v>-8.2873935699462891</v>
      </c>
      <c r="AZ13" s="93">
        <v>-8.3322677612304688</v>
      </c>
      <c r="BA13" s="93">
        <v>-8.3757762908935547</v>
      </c>
      <c r="BB13" s="93">
        <v>-8.419285774230957</v>
      </c>
      <c r="BC13" s="93">
        <v>-8.462794303894043</v>
      </c>
      <c r="BD13" s="93">
        <v>-8.5063028335571289</v>
      </c>
      <c r="BE13" s="93">
        <v>-8.5498123168945313</v>
      </c>
      <c r="BF13" s="93">
        <v>-8.5912685394287109</v>
      </c>
      <c r="BG13" s="93">
        <v>-8.6320152282714844</v>
      </c>
      <c r="BH13" s="93">
        <v>-8.6727609634399414</v>
      </c>
      <c r="BI13" s="93">
        <v>-8.7135076522827148</v>
      </c>
      <c r="BJ13" s="93">
        <v>-8.7542533874511719</v>
      </c>
      <c r="BK13" s="94">
        <v>-8.7950000762939453</v>
      </c>
    </row>
    <row r="14" spans="1:63" ht="21.75" thickBot="1" x14ac:dyDescent="0.4">
      <c r="A14" s="106"/>
      <c r="B14" s="95" t="s">
        <v>72</v>
      </c>
      <c r="C14" s="96">
        <v>-7.4245467185974121</v>
      </c>
      <c r="D14" s="96">
        <v>-9.1569414138793945</v>
      </c>
      <c r="E14" s="96">
        <v>-10.889335632324219</v>
      </c>
      <c r="F14" s="96">
        <v>-12.621729850769043</v>
      </c>
      <c r="G14" s="96">
        <v>-14.354123115539551</v>
      </c>
      <c r="H14" s="96">
        <v>-16.086519241333008</v>
      </c>
      <c r="I14" s="96">
        <v>-17.818912506103516</v>
      </c>
      <c r="J14" s="96">
        <v>-19.551307678222656</v>
      </c>
      <c r="K14" s="96">
        <v>-21.283700942993164</v>
      </c>
      <c r="L14" s="96">
        <v>-21.842342376708984</v>
      </c>
      <c r="M14" s="96">
        <v>-21.304939270019531</v>
      </c>
      <c r="N14" s="96">
        <v>-21.367813110351563</v>
      </c>
      <c r="O14" s="96">
        <v>-21.575359344482422</v>
      </c>
      <c r="P14" s="96">
        <v>-21.858772277832031</v>
      </c>
      <c r="Q14" s="96">
        <v>-22.131227493286133</v>
      </c>
      <c r="R14" s="96">
        <v>-22.348892211914063</v>
      </c>
      <c r="S14" s="96">
        <v>-22.556417465209961</v>
      </c>
      <c r="T14" s="96">
        <v>-22.772985458374023</v>
      </c>
      <c r="U14" s="96">
        <v>-22.951412200927734</v>
      </c>
      <c r="V14" s="96">
        <v>-23.209201812744141</v>
      </c>
      <c r="W14" s="96">
        <v>-23.551956176757813</v>
      </c>
      <c r="X14" s="96">
        <v>-23.90125846862793</v>
      </c>
      <c r="Y14" s="96">
        <v>-24.241737365722656</v>
      </c>
      <c r="Z14" s="96">
        <v>-24.577066421508789</v>
      </c>
      <c r="AA14" s="96">
        <v>-24.912395477294922</v>
      </c>
      <c r="AB14" s="96">
        <v>-25.247724533081055</v>
      </c>
      <c r="AC14" s="96">
        <v>-25.576656341552734</v>
      </c>
      <c r="AD14" s="96">
        <v>-25.893011093139648</v>
      </c>
      <c r="AE14" s="96">
        <v>-26.209365844726563</v>
      </c>
      <c r="AF14" s="96">
        <v>-26.525720596313477</v>
      </c>
      <c r="AG14" s="96">
        <v>-26.842075347900391</v>
      </c>
      <c r="AH14" s="96">
        <v>-27.158430099487305</v>
      </c>
      <c r="AI14" s="96">
        <v>-27.465099334716797</v>
      </c>
      <c r="AJ14" s="96">
        <v>-27.765724182128906</v>
      </c>
      <c r="AK14" s="96">
        <v>-28.066347122192383</v>
      </c>
      <c r="AL14" s="96">
        <v>-28.366971969604492</v>
      </c>
      <c r="AM14" s="96">
        <v>-28.667594909667969</v>
      </c>
      <c r="AN14" s="96">
        <v>-28.968219757080078</v>
      </c>
      <c r="AO14" s="96">
        <v>-29.255350112915039</v>
      </c>
      <c r="AP14" s="96">
        <v>-29.540885925292969</v>
      </c>
      <c r="AQ14" s="96">
        <v>-29.826421737670898</v>
      </c>
      <c r="AR14" s="96">
        <v>-30.111955642700195</v>
      </c>
      <c r="AS14" s="96">
        <v>-30.397491455078125</v>
      </c>
      <c r="AT14" s="96">
        <v>-30.680980682373047</v>
      </c>
      <c r="AU14" s="96">
        <v>-30.955490112304688</v>
      </c>
      <c r="AV14" s="96">
        <v>-31.23090934753418</v>
      </c>
      <c r="AW14" s="96">
        <v>-31.504117965698242</v>
      </c>
      <c r="AX14" s="96">
        <v>-31.771762847900391</v>
      </c>
      <c r="AY14" s="96">
        <v>-32.046363830566406</v>
      </c>
      <c r="AZ14" s="96">
        <v>-32.318874359130859</v>
      </c>
      <c r="BA14" s="96">
        <v>-32.587291717529297</v>
      </c>
      <c r="BB14" s="96">
        <v>-32.855712890625</v>
      </c>
      <c r="BC14" s="96">
        <v>-33.124134063720703</v>
      </c>
      <c r="BD14" s="96">
        <v>-33.392555236816406</v>
      </c>
      <c r="BE14" s="96">
        <v>-33.660976409912109</v>
      </c>
      <c r="BF14" s="96">
        <v>-33.922737121582031</v>
      </c>
      <c r="BG14" s="96">
        <v>-34.18218994140625</v>
      </c>
      <c r="BH14" s="96">
        <v>-34.441642761230469</v>
      </c>
      <c r="BI14" s="96">
        <v>-34.701095581054688</v>
      </c>
      <c r="BJ14" s="96">
        <v>-34.960548400878906</v>
      </c>
      <c r="BK14" s="97">
        <v>-35.220001220703125</v>
      </c>
    </row>
  </sheetData>
  <mergeCells count="3">
    <mergeCell ref="A3:A6"/>
    <mergeCell ref="A7:A10"/>
    <mergeCell ref="A11:A14"/>
  </mergeCells>
  <pageMargins left="0.7" right="0.7" top="0.75" bottom="0.75" header="0.3" footer="0.3"/>
  <cellWatches>
    <cellWatch r="C3"/>
    <cellWatch r="C4"/>
    <cellWatch r="C5"/>
    <cellWatch r="C6"/>
    <cellWatch r="C7"/>
    <cellWatch r="C8"/>
    <cellWatch r="C9"/>
    <cellWatch r="C10"/>
    <cellWatch r="C11"/>
    <cellWatch r="C12"/>
    <cellWatch r="C13"/>
    <cellWatch r="C14"/>
  </cellWatche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AJ59"/>
  <sheetViews>
    <sheetView zoomScaleNormal="100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T2" sqref="T2"/>
    </sheetView>
  </sheetViews>
  <sheetFormatPr defaultRowHeight="23.25" x14ac:dyDescent="0.35"/>
  <cols>
    <col min="1" max="1" width="9.54296875" bestFit="1" customWidth="1"/>
    <col min="2" max="2" width="12.453125" style="33" bestFit="1" customWidth="1"/>
    <col min="3" max="3" width="11.36328125" bestFit="1" customWidth="1"/>
    <col min="4" max="26" width="10.6328125" customWidth="1"/>
    <col min="38" max="43" width="5.6328125" customWidth="1"/>
    <col min="44" max="44" width="10" bestFit="1" customWidth="1"/>
  </cols>
  <sheetData>
    <row r="1" spans="1:36" ht="24" thickBot="1" x14ac:dyDescent="0.4">
      <c r="A1">
        <v>1</v>
      </c>
      <c r="C1" s="33">
        <v>298.2</v>
      </c>
      <c r="D1" s="33">
        <v>331.5</v>
      </c>
      <c r="E1" s="33">
        <v>364.9</v>
      </c>
      <c r="F1" s="33">
        <v>398.3</v>
      </c>
      <c r="G1" s="33">
        <v>431.7</v>
      </c>
      <c r="H1" s="33">
        <v>465.1</v>
      </c>
      <c r="I1" s="33">
        <v>498.5</v>
      </c>
      <c r="J1" s="33">
        <v>531.79999999999995</v>
      </c>
      <c r="K1" s="33">
        <v>565.20000000000005</v>
      </c>
      <c r="L1" s="33">
        <v>698.8</v>
      </c>
      <c r="M1" s="33">
        <v>832.3</v>
      </c>
      <c r="N1" s="33">
        <v>965.8</v>
      </c>
      <c r="O1" s="33">
        <v>999.2</v>
      </c>
      <c r="P1" s="33">
        <v>1033</v>
      </c>
      <c r="Q1" s="33">
        <v>1066</v>
      </c>
      <c r="R1" s="33">
        <v>1099</v>
      </c>
      <c r="S1" s="33">
        <v>1233</v>
      </c>
      <c r="T1" s="33">
        <v>1366</v>
      </c>
      <c r="U1" s="33">
        <v>1400</v>
      </c>
      <c r="V1" s="33">
        <v>1433</v>
      </c>
      <c r="W1" s="33">
        <v>1467</v>
      </c>
      <c r="X1" s="33">
        <v>1500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spans="1:36" ht="22.5" thickTop="1" thickBot="1" x14ac:dyDescent="0.4">
      <c r="A2" s="51" t="s">
        <v>44</v>
      </c>
      <c r="B2" s="50" t="s">
        <v>23</v>
      </c>
      <c r="C2" s="81" t="s">
        <v>75</v>
      </c>
      <c r="D2" s="84" t="s">
        <v>75</v>
      </c>
      <c r="E2" s="81" t="s">
        <v>75</v>
      </c>
      <c r="F2" s="84" t="s">
        <v>75</v>
      </c>
      <c r="G2" s="81" t="s">
        <v>75</v>
      </c>
      <c r="H2" s="81" t="s">
        <v>75</v>
      </c>
      <c r="I2" s="81" t="s">
        <v>75</v>
      </c>
      <c r="J2" s="81" t="s">
        <v>75</v>
      </c>
      <c r="K2" s="81" t="s">
        <v>153</v>
      </c>
      <c r="L2" s="81" t="s">
        <v>165</v>
      </c>
      <c r="M2" s="81" t="s">
        <v>176</v>
      </c>
      <c r="N2" s="81" t="s">
        <v>186</v>
      </c>
      <c r="O2" s="81" t="s">
        <v>194</v>
      </c>
      <c r="P2" s="81" t="s">
        <v>203</v>
      </c>
      <c r="Q2" s="81" t="s">
        <v>212</v>
      </c>
      <c r="R2" s="81" t="s">
        <v>221</v>
      </c>
      <c r="S2" s="81" t="s">
        <v>229</v>
      </c>
      <c r="T2" s="81" t="s">
        <v>83</v>
      </c>
      <c r="U2" s="81" t="s">
        <v>83</v>
      </c>
      <c r="V2" s="81" t="s">
        <v>83</v>
      </c>
      <c r="W2" s="84" t="s">
        <v>83</v>
      </c>
      <c r="X2" s="84" t="s">
        <v>83</v>
      </c>
    </row>
    <row r="3" spans="1:36" ht="22.5" thickTop="1" thickBot="1" x14ac:dyDescent="0.4">
      <c r="B3" s="50" t="s">
        <v>39</v>
      </c>
      <c r="C3" s="82" t="s">
        <v>75</v>
      </c>
      <c r="D3" s="82" t="s">
        <v>75</v>
      </c>
      <c r="E3" s="81" t="s">
        <v>75</v>
      </c>
      <c r="F3" s="84" t="s">
        <v>115</v>
      </c>
      <c r="G3" s="81" t="s">
        <v>121</v>
      </c>
      <c r="H3" s="82" t="s">
        <v>127</v>
      </c>
      <c r="I3" s="81" t="s">
        <v>135</v>
      </c>
      <c r="J3" s="81" t="s">
        <v>83</v>
      </c>
      <c r="K3" s="81" t="s">
        <v>83</v>
      </c>
      <c r="L3" s="81" t="s">
        <v>83</v>
      </c>
      <c r="M3" s="81" t="s">
        <v>83</v>
      </c>
      <c r="N3" s="81" t="s">
        <v>83</v>
      </c>
      <c r="O3" s="81" t="s">
        <v>83</v>
      </c>
      <c r="P3" s="81" t="s">
        <v>83</v>
      </c>
      <c r="Q3" s="82" t="s">
        <v>83</v>
      </c>
      <c r="R3" s="81" t="s">
        <v>83</v>
      </c>
      <c r="S3" s="81" t="s">
        <v>230</v>
      </c>
      <c r="T3" s="81" t="s">
        <v>237</v>
      </c>
      <c r="U3" s="82" t="s">
        <v>244</v>
      </c>
      <c r="V3" s="82" t="s">
        <v>252</v>
      </c>
      <c r="W3" s="84" t="s">
        <v>260</v>
      </c>
      <c r="X3" s="84" t="s">
        <v>268</v>
      </c>
    </row>
    <row r="4" spans="1:36" ht="22.5" thickTop="1" thickBot="1" x14ac:dyDescent="0.4">
      <c r="B4" s="50" t="s">
        <v>68</v>
      </c>
      <c r="C4" s="81" t="s">
        <v>83</v>
      </c>
      <c r="D4" s="84" t="s">
        <v>83</v>
      </c>
      <c r="E4" s="81" t="s">
        <v>96</v>
      </c>
      <c r="F4" s="84" t="s">
        <v>96</v>
      </c>
      <c r="G4" s="81" t="s">
        <v>96</v>
      </c>
      <c r="H4" s="81" t="s">
        <v>96</v>
      </c>
      <c r="I4" s="82" t="s">
        <v>96</v>
      </c>
      <c r="J4" s="81" t="s">
        <v>142</v>
      </c>
      <c r="K4" s="81" t="s">
        <v>154</v>
      </c>
      <c r="L4" s="81" t="s">
        <v>166</v>
      </c>
      <c r="M4" s="81" t="s">
        <v>75</v>
      </c>
      <c r="N4" s="81" t="s">
        <v>75</v>
      </c>
      <c r="O4" s="81" t="s">
        <v>75</v>
      </c>
      <c r="P4" s="81" t="s">
        <v>75</v>
      </c>
      <c r="Q4" s="81" t="s">
        <v>75</v>
      </c>
      <c r="R4" s="81" t="s">
        <v>75</v>
      </c>
      <c r="S4" s="81" t="s">
        <v>75</v>
      </c>
      <c r="T4" s="82" t="s">
        <v>75</v>
      </c>
      <c r="U4" s="81" t="s">
        <v>75</v>
      </c>
      <c r="V4" s="81" t="s">
        <v>75</v>
      </c>
      <c r="W4" s="84" t="s">
        <v>75</v>
      </c>
      <c r="X4" s="82" t="s">
        <v>75</v>
      </c>
    </row>
    <row r="5" spans="1:36" ht="22.5" thickTop="1" thickBot="1" x14ac:dyDescent="0.4">
      <c r="B5" s="50" t="s">
        <v>1</v>
      </c>
      <c r="C5" s="82" t="s">
        <v>75</v>
      </c>
      <c r="D5" s="84" t="s">
        <v>75</v>
      </c>
      <c r="E5" s="81" t="s">
        <v>75</v>
      </c>
      <c r="F5" s="84" t="s">
        <v>75</v>
      </c>
      <c r="G5" s="81" t="s">
        <v>75</v>
      </c>
      <c r="H5" s="82" t="s">
        <v>75</v>
      </c>
      <c r="I5" s="81" t="s">
        <v>75</v>
      </c>
      <c r="J5" s="81" t="s">
        <v>143</v>
      </c>
      <c r="K5" s="81" t="s">
        <v>76</v>
      </c>
      <c r="L5" s="81" t="s">
        <v>76</v>
      </c>
      <c r="M5" s="81" t="s">
        <v>76</v>
      </c>
      <c r="N5" s="81" t="s">
        <v>76</v>
      </c>
      <c r="O5" s="81" t="s">
        <v>76</v>
      </c>
      <c r="P5" s="81" t="s">
        <v>76</v>
      </c>
      <c r="Q5" s="82" t="s">
        <v>76</v>
      </c>
      <c r="R5" s="81" t="s">
        <v>76</v>
      </c>
      <c r="S5" s="81" t="s">
        <v>76</v>
      </c>
      <c r="T5" s="81" t="s">
        <v>76</v>
      </c>
      <c r="U5" s="82" t="s">
        <v>76</v>
      </c>
      <c r="V5" s="82" t="s">
        <v>76</v>
      </c>
      <c r="W5" s="84" t="s">
        <v>76</v>
      </c>
      <c r="X5" s="84" t="s">
        <v>76</v>
      </c>
    </row>
    <row r="6" spans="1:36" ht="22.5" thickTop="1" thickBot="1" x14ac:dyDescent="0.4">
      <c r="B6" s="50" t="s">
        <v>22</v>
      </c>
      <c r="C6" s="81" t="s">
        <v>75</v>
      </c>
      <c r="D6" s="84" t="s">
        <v>75</v>
      </c>
      <c r="E6" s="81" t="s">
        <v>75</v>
      </c>
      <c r="F6" s="84" t="s">
        <v>115</v>
      </c>
      <c r="G6" s="81" t="s">
        <v>121</v>
      </c>
      <c r="H6" s="81" t="s">
        <v>127</v>
      </c>
      <c r="I6" s="82" t="s">
        <v>135</v>
      </c>
      <c r="J6" s="81" t="s">
        <v>83</v>
      </c>
      <c r="K6" s="81" t="s">
        <v>83</v>
      </c>
      <c r="L6" s="81" t="s">
        <v>83</v>
      </c>
      <c r="M6" s="81" t="s">
        <v>83</v>
      </c>
      <c r="N6" s="81" t="s">
        <v>83</v>
      </c>
      <c r="O6" s="81" t="s">
        <v>83</v>
      </c>
      <c r="P6" s="81" t="s">
        <v>83</v>
      </c>
      <c r="Q6" s="81" t="s">
        <v>83</v>
      </c>
      <c r="R6" s="81" t="s">
        <v>83</v>
      </c>
      <c r="S6" s="81" t="s">
        <v>230</v>
      </c>
      <c r="T6" s="82" t="s">
        <v>237</v>
      </c>
      <c r="U6" s="81" t="s">
        <v>244</v>
      </c>
      <c r="V6" s="81" t="s">
        <v>252</v>
      </c>
      <c r="W6" s="84" t="s">
        <v>260</v>
      </c>
      <c r="X6" s="84" t="s">
        <v>268</v>
      </c>
    </row>
    <row r="7" spans="1:36" ht="22.5" thickTop="1" thickBot="1" x14ac:dyDescent="0.4">
      <c r="B7" s="50" t="s">
        <v>0</v>
      </c>
      <c r="C7" s="82" t="s">
        <v>99</v>
      </c>
      <c r="D7" s="84" t="s">
        <v>106</v>
      </c>
      <c r="E7" s="81" t="s">
        <v>83</v>
      </c>
      <c r="F7" s="84" t="s">
        <v>83</v>
      </c>
      <c r="G7" s="81" t="s">
        <v>83</v>
      </c>
      <c r="H7" s="82" t="s">
        <v>83</v>
      </c>
      <c r="I7" s="81" t="s">
        <v>83</v>
      </c>
      <c r="J7" s="81" t="s">
        <v>144</v>
      </c>
      <c r="K7" s="81" t="s">
        <v>155</v>
      </c>
      <c r="L7" s="81" t="s">
        <v>81</v>
      </c>
      <c r="M7" s="81" t="s">
        <v>81</v>
      </c>
      <c r="N7" s="81" t="s">
        <v>81</v>
      </c>
      <c r="O7" s="81" t="s">
        <v>81</v>
      </c>
      <c r="P7" s="81" t="s">
        <v>81</v>
      </c>
      <c r="Q7" s="81" t="s">
        <v>81</v>
      </c>
      <c r="R7" s="81" t="s">
        <v>81</v>
      </c>
      <c r="S7" s="81" t="s">
        <v>81</v>
      </c>
      <c r="T7" s="81" t="s">
        <v>81</v>
      </c>
      <c r="U7" s="82" t="s">
        <v>81</v>
      </c>
      <c r="V7" s="81" t="s">
        <v>81</v>
      </c>
      <c r="W7" s="84" t="s">
        <v>81</v>
      </c>
      <c r="X7" s="84" t="s">
        <v>81</v>
      </c>
    </row>
    <row r="8" spans="1:36" ht="22.5" thickTop="1" thickBot="1" x14ac:dyDescent="0.4">
      <c r="B8" s="50" t="s">
        <v>40</v>
      </c>
      <c r="C8" s="81" t="s">
        <v>83</v>
      </c>
      <c r="D8" s="84" t="s">
        <v>83</v>
      </c>
      <c r="E8" s="81" t="s">
        <v>110</v>
      </c>
      <c r="F8" s="84" t="s">
        <v>116</v>
      </c>
      <c r="G8" s="81" t="s">
        <v>122</v>
      </c>
      <c r="H8" s="81" t="s">
        <v>128</v>
      </c>
      <c r="I8" s="82" t="s">
        <v>75</v>
      </c>
      <c r="J8" s="82" t="s">
        <v>75</v>
      </c>
      <c r="K8" s="81" t="s">
        <v>75</v>
      </c>
      <c r="L8" s="81" t="s">
        <v>75</v>
      </c>
      <c r="M8" s="81" t="s">
        <v>75</v>
      </c>
      <c r="N8" s="81" t="s">
        <v>75</v>
      </c>
      <c r="O8" s="81" t="s">
        <v>75</v>
      </c>
      <c r="P8" s="81" t="s">
        <v>75</v>
      </c>
      <c r="Q8" s="82" t="s">
        <v>75</v>
      </c>
      <c r="R8" s="81" t="s">
        <v>75</v>
      </c>
      <c r="S8" s="81" t="s">
        <v>75</v>
      </c>
      <c r="T8" s="81" t="s">
        <v>75</v>
      </c>
      <c r="U8" s="81" t="s">
        <v>75</v>
      </c>
      <c r="V8" s="81" t="s">
        <v>75</v>
      </c>
      <c r="W8" s="82" t="s">
        <v>75</v>
      </c>
      <c r="X8" s="82" t="s">
        <v>75</v>
      </c>
    </row>
    <row r="9" spans="1:36" ht="22.5" thickTop="1" thickBot="1" x14ac:dyDescent="0.4">
      <c r="B9" s="50" t="s">
        <v>74</v>
      </c>
      <c r="C9" s="82" t="s">
        <v>93</v>
      </c>
      <c r="D9" s="84" t="s">
        <v>93</v>
      </c>
      <c r="E9" s="81" t="s">
        <v>93</v>
      </c>
      <c r="F9" s="82" t="s">
        <v>93</v>
      </c>
      <c r="G9" s="81" t="s">
        <v>93</v>
      </c>
      <c r="H9" s="82" t="s">
        <v>93</v>
      </c>
      <c r="I9" s="81" t="s">
        <v>93</v>
      </c>
      <c r="J9" s="81" t="s">
        <v>145</v>
      </c>
      <c r="K9" s="81" t="s">
        <v>156</v>
      </c>
      <c r="L9" s="81" t="s">
        <v>167</v>
      </c>
      <c r="M9" s="81" t="s">
        <v>177</v>
      </c>
      <c r="N9" s="81" t="s">
        <v>75</v>
      </c>
      <c r="O9" s="81" t="s">
        <v>75</v>
      </c>
      <c r="P9" s="81" t="s">
        <v>75</v>
      </c>
      <c r="Q9" s="81" t="s">
        <v>75</v>
      </c>
      <c r="R9" s="81" t="s">
        <v>75</v>
      </c>
      <c r="S9" s="81" t="s">
        <v>75</v>
      </c>
      <c r="T9" s="82" t="s">
        <v>75</v>
      </c>
      <c r="U9" s="82" t="s">
        <v>75</v>
      </c>
      <c r="V9" s="82" t="s">
        <v>75</v>
      </c>
      <c r="W9" s="84" t="s">
        <v>75</v>
      </c>
      <c r="X9" s="84" t="s">
        <v>75</v>
      </c>
    </row>
    <row r="10" spans="1:36" ht="22.5" thickTop="1" thickBot="1" x14ac:dyDescent="0.4">
      <c r="B10" s="50" t="s">
        <v>34</v>
      </c>
      <c r="C10" s="81" t="s">
        <v>75</v>
      </c>
      <c r="D10" s="82" t="s">
        <v>75</v>
      </c>
      <c r="E10" s="81" t="s">
        <v>75</v>
      </c>
      <c r="F10" s="84" t="s">
        <v>75</v>
      </c>
      <c r="G10" s="81" t="s">
        <v>75</v>
      </c>
      <c r="H10" s="81" t="s">
        <v>75</v>
      </c>
      <c r="I10" s="82" t="s">
        <v>75</v>
      </c>
      <c r="J10" s="82" t="s">
        <v>75</v>
      </c>
      <c r="K10" s="81" t="s">
        <v>157</v>
      </c>
      <c r="L10" s="81" t="s">
        <v>168</v>
      </c>
      <c r="M10" s="81" t="s">
        <v>178</v>
      </c>
      <c r="N10" s="81" t="s">
        <v>187</v>
      </c>
      <c r="O10" s="81" t="s">
        <v>195</v>
      </c>
      <c r="P10" s="81" t="s">
        <v>204</v>
      </c>
      <c r="Q10" s="81" t="s">
        <v>213</v>
      </c>
      <c r="R10" s="81" t="s">
        <v>222</v>
      </c>
      <c r="S10" s="81" t="s">
        <v>231</v>
      </c>
      <c r="T10" s="81" t="s">
        <v>238</v>
      </c>
      <c r="U10" s="81" t="s">
        <v>245</v>
      </c>
      <c r="V10" s="81" t="s">
        <v>253</v>
      </c>
      <c r="W10" s="82" t="s">
        <v>261</v>
      </c>
      <c r="X10" s="82" t="s">
        <v>269</v>
      </c>
    </row>
    <row r="11" spans="1:36" ht="22.5" thickTop="1" thickBot="1" x14ac:dyDescent="0.4">
      <c r="B11" s="50" t="s">
        <v>9</v>
      </c>
      <c r="C11" s="82" t="s">
        <v>75</v>
      </c>
      <c r="D11" s="84" t="s">
        <v>75</v>
      </c>
      <c r="E11" s="81" t="s">
        <v>75</v>
      </c>
      <c r="F11" s="84" t="s">
        <v>75</v>
      </c>
      <c r="G11" s="81" t="s">
        <v>75</v>
      </c>
      <c r="H11" s="82" t="s">
        <v>75</v>
      </c>
      <c r="I11" s="81" t="s">
        <v>136</v>
      </c>
      <c r="J11" s="81" t="s">
        <v>146</v>
      </c>
      <c r="K11" s="81" t="s">
        <v>158</v>
      </c>
      <c r="L11" s="81" t="s">
        <v>169</v>
      </c>
      <c r="M11" s="81" t="s">
        <v>179</v>
      </c>
      <c r="N11" s="81" t="s">
        <v>188</v>
      </c>
      <c r="O11" s="81" t="s">
        <v>196</v>
      </c>
      <c r="P11" s="81" t="s">
        <v>205</v>
      </c>
      <c r="Q11" s="82" t="s">
        <v>214</v>
      </c>
      <c r="R11" s="81" t="s">
        <v>223</v>
      </c>
      <c r="S11" s="81" t="s">
        <v>232</v>
      </c>
      <c r="T11" s="82" t="s">
        <v>239</v>
      </c>
      <c r="U11" s="82" t="s">
        <v>246</v>
      </c>
      <c r="V11" s="82" t="s">
        <v>254</v>
      </c>
      <c r="W11" s="84" t="s">
        <v>262</v>
      </c>
      <c r="X11" s="84" t="s">
        <v>270</v>
      </c>
    </row>
    <row r="12" spans="1:36" ht="22.5" thickTop="1" thickBot="1" x14ac:dyDescent="0.4">
      <c r="B12" s="50" t="s">
        <v>2</v>
      </c>
      <c r="C12" s="81" t="s">
        <v>76</v>
      </c>
      <c r="D12" s="84" t="s">
        <v>76</v>
      </c>
      <c r="E12" s="81" t="s">
        <v>76</v>
      </c>
      <c r="F12" s="84" t="s">
        <v>76</v>
      </c>
      <c r="G12" s="81" t="s">
        <v>76</v>
      </c>
      <c r="H12" s="81" t="s">
        <v>76</v>
      </c>
      <c r="I12" s="82" t="s">
        <v>76</v>
      </c>
      <c r="J12" s="82" t="s">
        <v>76</v>
      </c>
      <c r="K12" s="81" t="s">
        <v>76</v>
      </c>
      <c r="L12" s="81" t="s">
        <v>76</v>
      </c>
      <c r="M12" s="81" t="s">
        <v>76</v>
      </c>
      <c r="N12" s="81" t="s">
        <v>76</v>
      </c>
      <c r="O12" s="81" t="s">
        <v>76</v>
      </c>
      <c r="P12" s="81" t="s">
        <v>76</v>
      </c>
      <c r="Q12" s="81" t="s">
        <v>76</v>
      </c>
      <c r="R12" s="81" t="s">
        <v>76</v>
      </c>
      <c r="S12" s="81" t="s">
        <v>76</v>
      </c>
      <c r="T12" s="81" t="s">
        <v>76</v>
      </c>
      <c r="U12" s="81" t="s">
        <v>76</v>
      </c>
      <c r="V12" s="81" t="s">
        <v>76</v>
      </c>
      <c r="W12" s="82" t="s">
        <v>76</v>
      </c>
      <c r="X12" s="82" t="s">
        <v>76</v>
      </c>
    </row>
    <row r="13" spans="1:36" ht="22.5" thickTop="1" thickBot="1" x14ac:dyDescent="0.4">
      <c r="B13" s="50" t="s">
        <v>24</v>
      </c>
      <c r="C13" s="82" t="s">
        <v>75</v>
      </c>
      <c r="D13" s="84" t="s">
        <v>75</v>
      </c>
      <c r="E13" s="81" t="s">
        <v>75</v>
      </c>
      <c r="F13" s="84" t="s">
        <v>75</v>
      </c>
      <c r="G13" s="81" t="s">
        <v>75</v>
      </c>
      <c r="H13" s="82" t="s">
        <v>75</v>
      </c>
      <c r="I13" s="81" t="s">
        <v>75</v>
      </c>
      <c r="J13" s="81" t="s">
        <v>75</v>
      </c>
      <c r="K13" s="81" t="s">
        <v>159</v>
      </c>
      <c r="L13" s="81" t="s">
        <v>170</v>
      </c>
      <c r="M13" s="81" t="s">
        <v>180</v>
      </c>
      <c r="N13" s="81" t="s">
        <v>186</v>
      </c>
      <c r="O13" s="81" t="s">
        <v>194</v>
      </c>
      <c r="P13" s="81" t="s">
        <v>203</v>
      </c>
      <c r="Q13" s="81" t="s">
        <v>212</v>
      </c>
      <c r="R13" s="81" t="s">
        <v>221</v>
      </c>
      <c r="S13" s="81" t="s">
        <v>229</v>
      </c>
      <c r="T13" s="82" t="s">
        <v>83</v>
      </c>
      <c r="U13" s="82" t="s">
        <v>83</v>
      </c>
      <c r="V13" s="82" t="s">
        <v>83</v>
      </c>
      <c r="W13" s="84" t="s">
        <v>83</v>
      </c>
      <c r="X13" s="84" t="s">
        <v>83</v>
      </c>
    </row>
    <row r="14" spans="1:36" ht="22.5" thickTop="1" thickBot="1" x14ac:dyDescent="0.4">
      <c r="B14" s="50" t="s">
        <v>69</v>
      </c>
      <c r="C14" s="81" t="s">
        <v>100</v>
      </c>
      <c r="D14" s="84" t="s">
        <v>78</v>
      </c>
      <c r="E14" s="81" t="s">
        <v>97</v>
      </c>
      <c r="F14" s="84" t="s">
        <v>117</v>
      </c>
      <c r="G14" s="81" t="s">
        <v>79</v>
      </c>
      <c r="H14" s="81" t="s">
        <v>129</v>
      </c>
      <c r="I14" s="82" t="s">
        <v>137</v>
      </c>
      <c r="J14" s="81" t="s">
        <v>77</v>
      </c>
      <c r="K14" s="81" t="s">
        <v>78</v>
      </c>
      <c r="L14" s="81" t="s">
        <v>80</v>
      </c>
      <c r="M14" s="81" t="s">
        <v>82</v>
      </c>
      <c r="N14" s="81" t="s">
        <v>84</v>
      </c>
      <c r="O14" s="81" t="s">
        <v>197</v>
      </c>
      <c r="P14" s="81" t="s">
        <v>206</v>
      </c>
      <c r="Q14" s="81" t="s">
        <v>215</v>
      </c>
      <c r="R14" s="81" t="s">
        <v>85</v>
      </c>
      <c r="S14" s="81" t="s">
        <v>87</v>
      </c>
      <c r="T14" s="81" t="s">
        <v>88</v>
      </c>
      <c r="U14" s="81" t="s">
        <v>247</v>
      </c>
      <c r="V14" s="81" t="s">
        <v>255</v>
      </c>
      <c r="W14" s="82" t="s">
        <v>263</v>
      </c>
      <c r="X14" s="84" t="s">
        <v>89</v>
      </c>
    </row>
    <row r="15" spans="1:36" ht="22.5" thickTop="1" thickBot="1" x14ac:dyDescent="0.4">
      <c r="B15" s="50" t="s">
        <v>70</v>
      </c>
      <c r="C15" s="82" t="s">
        <v>101</v>
      </c>
      <c r="D15" s="84" t="s">
        <v>107</v>
      </c>
      <c r="E15" s="81" t="s">
        <v>111</v>
      </c>
      <c r="F15" s="84" t="s">
        <v>118</v>
      </c>
      <c r="G15" s="81" t="s">
        <v>123</v>
      </c>
      <c r="H15" s="82" t="s">
        <v>130</v>
      </c>
      <c r="I15" s="81" t="s">
        <v>138</v>
      </c>
      <c r="J15" s="81" t="s">
        <v>147</v>
      </c>
      <c r="K15" s="81" t="s">
        <v>160</v>
      </c>
      <c r="L15" s="81" t="s">
        <v>171</v>
      </c>
      <c r="M15" s="81" t="s">
        <v>181</v>
      </c>
      <c r="N15" s="81" t="s">
        <v>189</v>
      </c>
      <c r="O15" s="81" t="s">
        <v>198</v>
      </c>
      <c r="P15" s="81" t="s">
        <v>207</v>
      </c>
      <c r="Q15" s="81" t="s">
        <v>216</v>
      </c>
      <c r="R15" s="81" t="s">
        <v>224</v>
      </c>
      <c r="S15" s="81" t="s">
        <v>233</v>
      </c>
      <c r="T15" s="82" t="s">
        <v>240</v>
      </c>
      <c r="U15" s="82" t="s">
        <v>248</v>
      </c>
      <c r="V15" s="82" t="s">
        <v>256</v>
      </c>
      <c r="W15" s="84" t="s">
        <v>264</v>
      </c>
      <c r="X15" s="84" t="s">
        <v>271</v>
      </c>
    </row>
    <row r="16" spans="1:36" ht="22.5" thickTop="1" thickBot="1" x14ac:dyDescent="0.4">
      <c r="B16" s="50" t="s">
        <v>71</v>
      </c>
      <c r="C16" s="81" t="s">
        <v>102</v>
      </c>
      <c r="D16" s="84" t="s">
        <v>108</v>
      </c>
      <c r="E16" s="81" t="s">
        <v>112</v>
      </c>
      <c r="F16" s="84" t="s">
        <v>119</v>
      </c>
      <c r="G16" s="81" t="s">
        <v>124</v>
      </c>
      <c r="H16" s="81" t="s">
        <v>131</v>
      </c>
      <c r="I16" s="82" t="s">
        <v>139</v>
      </c>
      <c r="J16" s="82" t="s">
        <v>148</v>
      </c>
      <c r="K16" s="81" t="s">
        <v>161</v>
      </c>
      <c r="L16" s="81" t="s">
        <v>172</v>
      </c>
      <c r="M16" s="81" t="s">
        <v>182</v>
      </c>
      <c r="N16" s="81" t="s">
        <v>190</v>
      </c>
      <c r="O16" s="81" t="s">
        <v>199</v>
      </c>
      <c r="P16" s="81" t="s">
        <v>208</v>
      </c>
      <c r="Q16" s="81" t="s">
        <v>217</v>
      </c>
      <c r="R16" s="81" t="s">
        <v>225</v>
      </c>
      <c r="S16" s="81" t="s">
        <v>234</v>
      </c>
      <c r="T16" s="81" t="s">
        <v>241</v>
      </c>
      <c r="U16" s="81" t="s">
        <v>249</v>
      </c>
      <c r="V16" s="81" t="s">
        <v>257</v>
      </c>
      <c r="W16" s="82" t="s">
        <v>265</v>
      </c>
      <c r="X16" s="82" t="s">
        <v>272</v>
      </c>
    </row>
    <row r="17" spans="2:36" ht="22.5" thickTop="1" thickBot="1" x14ac:dyDescent="0.4">
      <c r="B17" s="50" t="s">
        <v>72</v>
      </c>
      <c r="C17" s="82" t="s">
        <v>103</v>
      </c>
      <c r="D17" s="84" t="s">
        <v>86</v>
      </c>
      <c r="E17" s="81" t="s">
        <v>113</v>
      </c>
      <c r="F17" s="84" t="s">
        <v>94</v>
      </c>
      <c r="G17" s="81" t="s">
        <v>95</v>
      </c>
      <c r="H17" s="82" t="s">
        <v>132</v>
      </c>
      <c r="I17" s="81" t="s">
        <v>140</v>
      </c>
      <c r="J17" s="81" t="s">
        <v>149</v>
      </c>
      <c r="K17" s="81" t="s">
        <v>162</v>
      </c>
      <c r="L17" s="81" t="s">
        <v>173</v>
      </c>
      <c r="M17" s="81" t="s">
        <v>183</v>
      </c>
      <c r="N17" s="81" t="s">
        <v>191</v>
      </c>
      <c r="O17" s="81" t="s">
        <v>200</v>
      </c>
      <c r="P17" s="81" t="s">
        <v>209</v>
      </c>
      <c r="Q17" s="82" t="s">
        <v>218</v>
      </c>
      <c r="R17" s="81" t="s">
        <v>226</v>
      </c>
      <c r="S17" s="81" t="s">
        <v>235</v>
      </c>
      <c r="T17" s="82" t="s">
        <v>242</v>
      </c>
      <c r="U17" s="82" t="s">
        <v>250</v>
      </c>
      <c r="V17" s="82" t="s">
        <v>258</v>
      </c>
      <c r="W17" s="84" t="s">
        <v>266</v>
      </c>
      <c r="X17" s="84" t="s">
        <v>273</v>
      </c>
    </row>
    <row r="18" spans="2:36" ht="22.5" thickTop="1" thickBot="1" x14ac:dyDescent="0.4">
      <c r="B18" s="50" t="s">
        <v>6</v>
      </c>
      <c r="C18" s="81" t="s">
        <v>104</v>
      </c>
      <c r="D18" s="84" t="s">
        <v>104</v>
      </c>
      <c r="E18" s="81" t="s">
        <v>104</v>
      </c>
      <c r="F18" s="84" t="s">
        <v>104</v>
      </c>
      <c r="G18" s="81" t="s">
        <v>104</v>
      </c>
      <c r="H18" s="81" t="s">
        <v>104</v>
      </c>
      <c r="I18" s="82" t="s">
        <v>104</v>
      </c>
      <c r="J18" s="81" t="s">
        <v>150</v>
      </c>
      <c r="K18" s="81" t="s">
        <v>76</v>
      </c>
      <c r="L18" s="81" t="s">
        <v>76</v>
      </c>
      <c r="M18" s="81" t="s">
        <v>76</v>
      </c>
      <c r="N18" s="81" t="s">
        <v>76</v>
      </c>
      <c r="O18" s="81" t="s">
        <v>76</v>
      </c>
      <c r="P18" s="81" t="s">
        <v>76</v>
      </c>
      <c r="Q18" s="81" t="s">
        <v>76</v>
      </c>
      <c r="R18" s="81" t="s">
        <v>76</v>
      </c>
      <c r="S18" s="81" t="s">
        <v>76</v>
      </c>
      <c r="T18" s="81" t="s">
        <v>76</v>
      </c>
      <c r="U18" s="81" t="s">
        <v>76</v>
      </c>
      <c r="V18" s="81" t="s">
        <v>76</v>
      </c>
      <c r="W18" s="82" t="s">
        <v>76</v>
      </c>
      <c r="X18" s="82" t="s">
        <v>76</v>
      </c>
    </row>
    <row r="19" spans="2:36" ht="22.5" thickTop="1" thickBot="1" x14ac:dyDescent="0.4">
      <c r="B19" s="50" t="s">
        <v>27</v>
      </c>
      <c r="C19" s="82" t="s">
        <v>75</v>
      </c>
      <c r="D19" s="84" t="s">
        <v>75</v>
      </c>
      <c r="E19" s="81" t="s">
        <v>75</v>
      </c>
      <c r="F19" s="82" t="s">
        <v>75</v>
      </c>
      <c r="G19" s="81" t="s">
        <v>125</v>
      </c>
      <c r="H19" s="82" t="s">
        <v>133</v>
      </c>
      <c r="I19" s="81" t="s">
        <v>75</v>
      </c>
      <c r="J19" s="81" t="s">
        <v>151</v>
      </c>
      <c r="K19" s="81" t="s">
        <v>163</v>
      </c>
      <c r="L19" s="81" t="s">
        <v>174</v>
      </c>
      <c r="M19" s="81" t="s">
        <v>184</v>
      </c>
      <c r="N19" s="81" t="s">
        <v>192</v>
      </c>
      <c r="O19" s="81" t="s">
        <v>201</v>
      </c>
      <c r="P19" s="81" t="s">
        <v>210</v>
      </c>
      <c r="Q19" s="81" t="s">
        <v>219</v>
      </c>
      <c r="R19" s="81" t="s">
        <v>227</v>
      </c>
      <c r="S19" s="81" t="s">
        <v>229</v>
      </c>
      <c r="T19" s="81" t="s">
        <v>83</v>
      </c>
      <c r="U19" s="82" t="s">
        <v>83</v>
      </c>
      <c r="V19" s="81" t="s">
        <v>83</v>
      </c>
      <c r="W19" s="84" t="s">
        <v>83</v>
      </c>
      <c r="X19" s="84" t="s">
        <v>83</v>
      </c>
    </row>
    <row r="20" spans="2:36" ht="22.5" thickTop="1" thickBot="1" x14ac:dyDescent="0.4">
      <c r="B20" s="50" t="s">
        <v>98</v>
      </c>
      <c r="C20" s="81" t="s">
        <v>105</v>
      </c>
      <c r="D20" s="82" t="s">
        <v>109</v>
      </c>
      <c r="E20" s="81" t="s">
        <v>114</v>
      </c>
      <c r="F20" s="84" t="s">
        <v>120</v>
      </c>
      <c r="G20" s="81" t="s">
        <v>126</v>
      </c>
      <c r="H20" s="81" t="s">
        <v>134</v>
      </c>
      <c r="I20" s="81" t="s">
        <v>141</v>
      </c>
      <c r="J20" s="81" t="s">
        <v>152</v>
      </c>
      <c r="K20" s="81" t="s">
        <v>164</v>
      </c>
      <c r="L20" s="81" t="s">
        <v>175</v>
      </c>
      <c r="M20" s="81" t="s">
        <v>185</v>
      </c>
      <c r="N20" s="81" t="s">
        <v>193</v>
      </c>
      <c r="O20" s="81" t="s">
        <v>202</v>
      </c>
      <c r="P20" s="81" t="s">
        <v>211</v>
      </c>
      <c r="Q20" s="81" t="s">
        <v>220</v>
      </c>
      <c r="R20" s="81" t="s">
        <v>228</v>
      </c>
      <c r="S20" s="81" t="s">
        <v>236</v>
      </c>
      <c r="T20" s="82" t="s">
        <v>243</v>
      </c>
      <c r="U20" s="81" t="s">
        <v>251</v>
      </c>
      <c r="V20" s="82" t="s">
        <v>259</v>
      </c>
      <c r="W20" s="84" t="s">
        <v>267</v>
      </c>
      <c r="X20" s="84" t="s">
        <v>274</v>
      </c>
    </row>
    <row r="21" spans="2:36" ht="21.75" thickTop="1" x14ac:dyDescent="0.35">
      <c r="B21"/>
    </row>
    <row r="22" spans="2:36" ht="21" x14ac:dyDescent="0.35">
      <c r="B22"/>
    </row>
    <row r="23" spans="2:36" ht="21" x14ac:dyDescent="0.35">
      <c r="B23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</row>
    <row r="24" spans="2:36" ht="21" x14ac:dyDescent="0.35">
      <c r="B24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</row>
    <row r="25" spans="2:36" ht="21" x14ac:dyDescent="0.35">
      <c r="B25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</row>
    <row r="26" spans="2:36" ht="21" x14ac:dyDescent="0.35">
      <c r="B26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</row>
    <row r="27" spans="2:36" ht="21" x14ac:dyDescent="0.35">
      <c r="B27"/>
    </row>
    <row r="28" spans="2:36" ht="21" x14ac:dyDescent="0.35">
      <c r="B28"/>
    </row>
    <row r="29" spans="2:36" ht="21" x14ac:dyDescent="0.35">
      <c r="B29"/>
    </row>
    <row r="30" spans="2:36" ht="21" x14ac:dyDescent="0.35">
      <c r="B30"/>
    </row>
    <row r="31" spans="2:36" ht="21" x14ac:dyDescent="0.35">
      <c r="B31"/>
    </row>
    <row r="32" spans="2:36" ht="21" x14ac:dyDescent="0.35">
      <c r="B32"/>
    </row>
    <row r="33" spans="2:23" ht="21" x14ac:dyDescent="0.35">
      <c r="B33"/>
    </row>
    <row r="34" spans="2:23" ht="21" x14ac:dyDescent="0.35">
      <c r="B34"/>
    </row>
    <row r="35" spans="2:23" ht="21" x14ac:dyDescent="0.35">
      <c r="B35"/>
    </row>
    <row r="36" spans="2:23" ht="21" x14ac:dyDescent="0.35">
      <c r="B36"/>
    </row>
    <row r="37" spans="2:23" ht="21" x14ac:dyDescent="0.35">
      <c r="B37"/>
    </row>
    <row r="38" spans="2:23" ht="21" x14ac:dyDescent="0.35">
      <c r="B38"/>
    </row>
    <row r="39" spans="2:23" ht="21" x14ac:dyDescent="0.35">
      <c r="B39"/>
    </row>
    <row r="40" spans="2:23" ht="21" x14ac:dyDescent="0.35">
      <c r="B40"/>
    </row>
    <row r="41" spans="2:23" ht="21" x14ac:dyDescent="0.35">
      <c r="B41"/>
    </row>
    <row r="42" spans="2:23" ht="21" x14ac:dyDescent="0.35">
      <c r="B42"/>
    </row>
    <row r="43" spans="2:23" ht="21" x14ac:dyDescent="0.35">
      <c r="B43"/>
    </row>
    <row r="44" spans="2:23" ht="21" x14ac:dyDescent="0.35">
      <c r="B44"/>
    </row>
    <row r="45" spans="2:23" ht="21" x14ac:dyDescent="0.35">
      <c r="B45"/>
    </row>
    <row r="46" spans="2:23" ht="21" x14ac:dyDescent="0.35">
      <c r="B46"/>
    </row>
    <row r="48" spans="2:23" x14ac:dyDescent="0.35">
      <c r="W48" s="32"/>
    </row>
    <row r="49" spans="3:26" x14ac:dyDescent="0.35">
      <c r="C49" s="34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5"/>
      <c r="P49" s="32"/>
      <c r="Q49" s="32"/>
      <c r="R49" s="32"/>
      <c r="S49" s="32"/>
      <c r="T49" s="35"/>
      <c r="U49" s="32"/>
      <c r="V49" s="32"/>
      <c r="W49" s="32"/>
      <c r="X49" s="32"/>
      <c r="Y49" s="32"/>
      <c r="Z49" s="32"/>
    </row>
    <row r="50" spans="3:26" x14ac:dyDescent="0.35">
      <c r="C50" s="34"/>
      <c r="D50" s="32"/>
      <c r="E50" s="32"/>
      <c r="F50" s="32"/>
      <c r="G50" s="35"/>
      <c r="H50" s="32"/>
      <c r="I50" s="32"/>
      <c r="J50" s="32"/>
      <c r="K50" s="32"/>
      <c r="L50" s="35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5"/>
    </row>
    <row r="51" spans="3:26" x14ac:dyDescent="0.35">
      <c r="C51" s="34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5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3:26" x14ac:dyDescent="0.35">
      <c r="C52" s="34"/>
      <c r="D52" s="32"/>
      <c r="E52" s="32"/>
      <c r="F52" s="32"/>
      <c r="G52" s="32"/>
      <c r="H52" s="35"/>
      <c r="I52" s="32"/>
      <c r="J52" s="32"/>
      <c r="K52" s="32"/>
      <c r="L52" s="35"/>
      <c r="M52" s="32"/>
      <c r="N52" s="32"/>
      <c r="O52" s="32"/>
      <c r="P52" s="32"/>
      <c r="Q52" s="35"/>
      <c r="R52" s="32"/>
      <c r="S52" s="32"/>
      <c r="T52" s="35"/>
      <c r="U52" s="32"/>
      <c r="V52" s="32"/>
      <c r="W52" s="32"/>
      <c r="X52" s="32"/>
      <c r="Y52" s="32"/>
      <c r="Z52" s="32"/>
    </row>
    <row r="53" spans="3:26" x14ac:dyDescent="0.35">
      <c r="C53" s="34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5"/>
      <c r="O53" s="32"/>
      <c r="P53" s="32"/>
      <c r="Q53" s="32"/>
      <c r="R53" s="32"/>
      <c r="S53" s="32"/>
      <c r="T53" s="32"/>
      <c r="U53" s="35"/>
      <c r="V53" s="32"/>
      <c r="W53" s="32"/>
      <c r="X53" s="32"/>
      <c r="Y53" s="32"/>
      <c r="Z53" s="32"/>
    </row>
    <row r="54" spans="3:26" x14ac:dyDescent="0.35">
      <c r="C54" s="34"/>
      <c r="D54" s="32"/>
      <c r="E54" s="32"/>
      <c r="F54" s="32"/>
      <c r="G54" s="32"/>
      <c r="H54" s="35"/>
      <c r="I54" s="32"/>
      <c r="J54" s="32"/>
      <c r="K54" s="32"/>
      <c r="L54" s="35"/>
      <c r="M54" s="32"/>
      <c r="N54" s="32"/>
      <c r="O54" s="32"/>
      <c r="P54" s="32"/>
      <c r="Q54" s="35"/>
      <c r="R54" s="32"/>
      <c r="S54" s="32"/>
      <c r="T54" s="35"/>
      <c r="U54" s="32"/>
      <c r="V54" s="32"/>
      <c r="X54" s="32"/>
      <c r="Y54" s="32"/>
      <c r="Z54" s="32"/>
    </row>
    <row r="55" spans="3:26" x14ac:dyDescent="0.35">
      <c r="G55" s="32"/>
      <c r="H55" s="32"/>
      <c r="L55" s="32"/>
      <c r="N55" s="32"/>
      <c r="O55" s="35"/>
      <c r="Q55" s="32"/>
      <c r="T55" s="32"/>
      <c r="U55" s="35"/>
      <c r="Y55" s="32"/>
      <c r="Z55" s="32"/>
    </row>
    <row r="56" spans="3:26" x14ac:dyDescent="0.35">
      <c r="H56" s="35"/>
      <c r="L56" s="35"/>
      <c r="N56" s="32"/>
      <c r="O56" s="32"/>
      <c r="Q56" s="35"/>
      <c r="T56" s="32"/>
      <c r="U56" s="32"/>
      <c r="Y56" s="32"/>
      <c r="Z56" s="32"/>
    </row>
    <row r="57" spans="3:26" x14ac:dyDescent="0.35">
      <c r="H57" s="32"/>
      <c r="L57" s="32"/>
      <c r="Q57" s="32"/>
      <c r="T57" s="32"/>
      <c r="Z57" s="32"/>
    </row>
    <row r="58" spans="3:26" x14ac:dyDescent="0.35">
      <c r="L58" s="35"/>
      <c r="T58" s="32"/>
      <c r="Z58" s="32"/>
    </row>
    <row r="59" spans="3:26" x14ac:dyDescent="0.35">
      <c r="L59" s="32"/>
      <c r="T59" s="3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0</xdr:col>
                    <xdr:colOff>885825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A0E53A9-9EDC-42E1-8523-138DA8BC2DFC}">
            <xm:f>NOT(ISNUMBER(ALL!O1))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N1:X20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ALL</vt:lpstr>
      <vt:lpstr>FLUID</vt:lpstr>
      <vt:lpstr>SOLIDDIFER</vt:lpstr>
      <vt:lpstr>EVALUATION</vt:lpstr>
      <vt:lpstr>Answ2</vt:lpstr>
      <vt:lpstr>data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2021-02-14T17:56:03Z</dcterms:modified>
</cp:coreProperties>
</file>